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up" sheetId="1" r:id="rId5"/>
    <sheet state="visible" name="Daily Expense Tracker" sheetId="2" r:id="rId6"/>
    <sheet state="visible" name="Weekly Analysis" sheetId="3" r:id="rId7"/>
    <sheet state="visible" name="Monthly Analysis" sheetId="4" r:id="rId8"/>
    <sheet state="visible" name="Yearly Calendar" sheetId="5" r:id="rId9"/>
    <sheet state="visible" name="Calc" sheetId="6" r:id="rId10"/>
  </sheets>
  <definedNames>
    <definedName name="categories">Setup!$A$11:$A$19</definedName>
    <definedName name="paymentModes">Setup!$D$11:$D$1000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05 Jan 2026
Spend: ₹1469</t>
      </text>
    </comment>
    <comment authorId="0" ref="D5">
      <text>
        <t xml:space="preserve">12 Jan 2026
Spend: ₹630</t>
      </text>
    </comment>
    <comment authorId="0" ref="E5">
      <text>
        <t xml:space="preserve">19 Jan 2026
Spend: ₹100</t>
      </text>
    </comment>
    <comment authorId="0" ref="F5">
      <text>
        <t xml:space="preserve">26 Jan 2026
Spend: ₹2450</t>
      </text>
    </comment>
    <comment authorId="0" ref="I5">
      <text>
        <t xml:space="preserve">02 Feb 2026
Spend: ₹1079</t>
      </text>
    </comment>
    <comment authorId="0" ref="J5">
      <text>
        <t xml:space="preserve">09 Feb 2026
Spend: ₹320</t>
      </text>
    </comment>
    <comment authorId="0" ref="K5">
      <text>
        <t xml:space="preserve">16 Feb 2026
Spend: ₹260</t>
      </text>
    </comment>
    <comment authorId="0" ref="L5">
      <text>
        <t xml:space="preserve">23 Feb 2026
Spend: ₹550</t>
      </text>
    </comment>
    <comment authorId="0" ref="O5">
      <text>
        <t xml:space="preserve">02 Mar 2026
Spend: ₹849</t>
      </text>
    </comment>
    <comment authorId="0" ref="P5">
      <text>
        <t xml:space="preserve">09 Mar 2026
Spend: ₹390</t>
      </text>
    </comment>
    <comment authorId="0" ref="Q5">
      <text>
        <t xml:space="preserve">16 Mar 2026
Spend: ₹460</t>
      </text>
    </comment>
    <comment authorId="0" ref="R5">
      <text>
        <t xml:space="preserve">23 Mar 2026
Spend: ₹280</t>
      </text>
    </comment>
    <comment authorId="0" ref="S5">
      <text>
        <t xml:space="preserve">30 Mar 2026
Spend: ₹630</t>
      </text>
    </comment>
    <comment authorId="0" ref="V5">
      <text>
        <t xml:space="preserve">06 Apr 2026
Spend: ₹1580</t>
      </text>
    </comment>
    <comment authorId="0" ref="W5">
      <text>
        <t xml:space="preserve">13 Apr 2026
Spend: ₹0</t>
      </text>
    </comment>
    <comment authorId="0" ref="X5">
      <text>
        <t xml:space="preserve">20 Apr 2026
Spend: ₹0</t>
      </text>
    </comment>
    <comment authorId="0" ref="Y5">
      <text>
        <t xml:space="preserve">27 Apr 2026
Spend: ₹0</t>
      </text>
    </comment>
    <comment authorId="0" ref="AB5">
      <text>
        <t xml:space="preserve">04 May 2026
Spend: ₹0</t>
      </text>
    </comment>
    <comment authorId="0" ref="AC5">
      <text>
        <t xml:space="preserve">11 May 2026
Spend: ₹0</t>
      </text>
    </comment>
    <comment authorId="0" ref="AD5">
      <text>
        <t xml:space="preserve">18 May 2026
Spend: ₹0</t>
      </text>
    </comment>
    <comment authorId="0" ref="AE5">
      <text>
        <t xml:space="preserve">25 May 2026
Spend: ₹0</t>
      </text>
    </comment>
    <comment authorId="0" ref="AG5">
      <text>
        <t xml:space="preserve">01 Jun 2026
Spend: ₹0</t>
      </text>
    </comment>
    <comment authorId="0" ref="AH5">
      <text>
        <t xml:space="preserve">08 Jun 2026
Spend: ₹0</t>
      </text>
    </comment>
    <comment authorId="0" ref="AI5">
      <text>
        <t xml:space="preserve">15 Jun 2026
Spend: ₹0</t>
      </text>
    </comment>
    <comment authorId="0" ref="AJ5">
      <text>
        <t xml:space="preserve">22 Jun 2026
Spend: ₹0</t>
      </text>
    </comment>
    <comment authorId="0" ref="AK5">
      <text>
        <t xml:space="preserve">29 Jun 2026
Spend: ₹0</t>
      </text>
    </comment>
    <comment authorId="0" ref="AN5">
      <text>
        <t xml:space="preserve">06 Jul 2026
Spend: ₹0</t>
      </text>
    </comment>
    <comment authorId="0" ref="AO5">
      <text>
        <t xml:space="preserve">13 Jul 2026
Spend: ₹0</t>
      </text>
    </comment>
    <comment authorId="0" ref="AP5">
      <text>
        <t xml:space="preserve">20 Jul 2026
Spend: ₹0</t>
      </text>
    </comment>
    <comment authorId="0" ref="AQ5">
      <text>
        <t xml:space="preserve">27 Jul 2026
Spend: ₹0</t>
      </text>
    </comment>
    <comment authorId="0" ref="AT5">
      <text>
        <t xml:space="preserve">03 Aug 2026
Spend: ₹0</t>
      </text>
    </comment>
    <comment authorId="0" ref="AU5">
      <text>
        <t xml:space="preserve">10 Aug 2026
Spend: ₹0</t>
      </text>
    </comment>
    <comment authorId="0" ref="AV5">
      <text>
        <t xml:space="preserve">17 Aug 2026
Spend: ₹0</t>
      </text>
    </comment>
    <comment authorId="0" ref="AW5">
      <text>
        <t xml:space="preserve">24 Aug 2026
Spend: ₹0</t>
      </text>
    </comment>
    <comment authorId="0" ref="AX5">
      <text>
        <t xml:space="preserve">31 Aug 2026
Spend: ₹0</t>
      </text>
    </comment>
    <comment authorId="0" ref="BA5">
      <text>
        <t xml:space="preserve">07 Sep 2026
Spend: ₹0</t>
      </text>
    </comment>
    <comment authorId="0" ref="BB5">
      <text>
        <t xml:space="preserve">14 Sep 2026
Spend: ₹0</t>
      </text>
    </comment>
    <comment authorId="0" ref="BC5">
      <text>
        <t xml:space="preserve">21 Sep 2026
Spend: ₹0</t>
      </text>
    </comment>
    <comment authorId="0" ref="BD5">
      <text>
        <t xml:space="preserve">28 Sep 2026
Spend: ₹0</t>
      </text>
    </comment>
    <comment authorId="0" ref="BG5">
      <text>
        <t xml:space="preserve">05 Oct 2026
Spend: ₹0</t>
      </text>
    </comment>
    <comment authorId="0" ref="BH5">
      <text>
        <t xml:space="preserve">12 Oct 2026
Spend: ₹0</t>
      </text>
    </comment>
    <comment authorId="0" ref="BI5">
      <text>
        <t xml:space="preserve">19 Oct 2026
Spend: ₹0</t>
      </text>
    </comment>
    <comment authorId="0" ref="BJ5">
      <text>
        <t xml:space="preserve">26 Oct 2026
Spend: ₹0</t>
      </text>
    </comment>
    <comment authorId="0" ref="BM5">
      <text>
        <t xml:space="preserve">02 Nov 2026
Spend: ₹0</t>
      </text>
    </comment>
    <comment authorId="0" ref="BN5">
      <text>
        <t xml:space="preserve">09 Nov 2026
Spend: ₹0</t>
      </text>
    </comment>
    <comment authorId="0" ref="BO5">
      <text>
        <t xml:space="preserve">16 Nov 2026
Spend: ₹0</t>
      </text>
    </comment>
    <comment authorId="0" ref="BP5">
      <text>
        <t xml:space="preserve">23 Nov 2026
Spend: ₹0</t>
      </text>
    </comment>
    <comment authorId="0" ref="BQ5">
      <text>
        <t xml:space="preserve">30 Nov 2026
Spend: ₹0</t>
      </text>
    </comment>
    <comment authorId="0" ref="BT5">
      <text>
        <t xml:space="preserve">07 Dec 2026
Spend: ₹0</t>
      </text>
    </comment>
    <comment authorId="0" ref="BU5">
      <text>
        <t xml:space="preserve">14 Dec 2026
Spend: ₹0</t>
      </text>
    </comment>
    <comment authorId="0" ref="BV5">
      <text>
        <t xml:space="preserve">21 Dec 2026
Spend: ₹0</t>
      </text>
    </comment>
    <comment authorId="0" ref="BW5">
      <text>
        <t xml:space="preserve">28 Dec 2026
Spend: ₹0</t>
      </text>
    </comment>
    <comment authorId="0" ref="C6">
      <text>
        <t xml:space="preserve">06 Jan 2026
Spend: ₹1830</t>
      </text>
    </comment>
    <comment authorId="0" ref="D6">
      <text>
        <t xml:space="preserve">13 Jan 2026
Spend: ₹1179</t>
      </text>
    </comment>
    <comment authorId="0" ref="E6">
      <text>
        <t xml:space="preserve">20 Jan 2026
Spend: ₹450</t>
      </text>
    </comment>
    <comment authorId="0" ref="F6">
      <text>
        <t xml:space="preserve">27 Jan 2026
Spend: ₹230</t>
      </text>
    </comment>
    <comment authorId="0" ref="I6">
      <text>
        <t xml:space="preserve">03 Feb 2026
Spend: ₹1730</t>
      </text>
    </comment>
    <comment authorId="0" ref="J6">
      <text>
        <t xml:space="preserve">10 Feb 2026
Spend: ₹1319</t>
      </text>
    </comment>
    <comment authorId="0" ref="K6">
      <text>
        <t xml:space="preserve">17 Feb 2026
Spend: ₹470</t>
      </text>
    </comment>
    <comment authorId="0" ref="L6">
      <text>
        <t xml:space="preserve">24 Feb 2026
Spend: ₹400</t>
      </text>
    </comment>
    <comment authorId="0" ref="O6">
      <text>
        <t xml:space="preserve">03 Mar 2026
Spend: ₹2000</t>
      </text>
    </comment>
    <comment authorId="0" ref="P6">
      <text>
        <t xml:space="preserve">10 Mar 2026
Spend: ₹719</t>
      </text>
    </comment>
    <comment authorId="0" ref="Q6">
      <text>
        <t xml:space="preserve">17 Mar 2026
Spend: ₹830</t>
      </text>
    </comment>
    <comment authorId="0" ref="R6">
      <text>
        <t xml:space="preserve">24 Mar 2026
Spend: ₹1399</t>
      </text>
    </comment>
    <comment authorId="0" ref="S6">
      <text>
        <t xml:space="preserve">31 Mar 2026
Spend: ₹930</t>
      </text>
    </comment>
    <comment authorId="0" ref="V6">
      <text>
        <t xml:space="preserve">07 Apr 2026
Spend: ₹1260</t>
      </text>
    </comment>
    <comment authorId="0" ref="W6">
      <text>
        <t xml:space="preserve">14 Apr 2026
Spend: ₹0</t>
      </text>
    </comment>
    <comment authorId="0" ref="X6">
      <text>
        <t xml:space="preserve">21 Apr 2026
Spend: ₹0</t>
      </text>
    </comment>
    <comment authorId="0" ref="Y6">
      <text>
        <t xml:space="preserve">28 Apr 2026
Spend: ₹0</t>
      </text>
    </comment>
    <comment authorId="0" ref="AB6">
      <text>
        <t xml:space="preserve">05 May 2026
Spend: ₹0</t>
      </text>
    </comment>
    <comment authorId="0" ref="AC6">
      <text>
        <t xml:space="preserve">12 May 2026
Spend: ₹0</t>
      </text>
    </comment>
    <comment authorId="0" ref="AD6">
      <text>
        <t xml:space="preserve">19 May 2026
Spend: ₹0</t>
      </text>
    </comment>
    <comment authorId="0" ref="AE6">
      <text>
        <t xml:space="preserve">26 May 2026
Spend: ₹0</t>
      </text>
    </comment>
    <comment authorId="0" ref="AG6">
      <text>
        <t xml:space="preserve">02 Jun 2026
Spend: ₹0</t>
      </text>
    </comment>
    <comment authorId="0" ref="AH6">
      <text>
        <t xml:space="preserve">09 Jun 2026
Spend: ₹0</t>
      </text>
    </comment>
    <comment authorId="0" ref="AI6">
      <text>
        <t xml:space="preserve">16 Jun 2026
Spend: ₹0</t>
      </text>
    </comment>
    <comment authorId="0" ref="AJ6">
      <text>
        <t xml:space="preserve">23 Jun 2026
Spend: ₹0</t>
      </text>
    </comment>
    <comment authorId="0" ref="AK6">
      <text>
        <t xml:space="preserve">30 Jun 2026
Spend: ₹0</t>
      </text>
    </comment>
    <comment authorId="0" ref="AN6">
      <text>
        <t xml:space="preserve">07 Jul 2026
Spend: ₹0</t>
      </text>
    </comment>
    <comment authorId="0" ref="AO6">
      <text>
        <t xml:space="preserve">14 Jul 2026
Spend: ₹0</t>
      </text>
    </comment>
    <comment authorId="0" ref="AP6">
      <text>
        <t xml:space="preserve">21 Jul 2026
Spend: ₹0</t>
      </text>
    </comment>
    <comment authorId="0" ref="AQ6">
      <text>
        <t xml:space="preserve">28 Jul 2026
Spend: ₹0</t>
      </text>
    </comment>
    <comment authorId="0" ref="AT6">
      <text>
        <t xml:space="preserve">04 Aug 2026
Spend: ₹0</t>
      </text>
    </comment>
    <comment authorId="0" ref="AU6">
      <text>
        <t xml:space="preserve">11 Aug 2026
Spend: ₹0</t>
      </text>
    </comment>
    <comment authorId="0" ref="AV6">
      <text>
        <t xml:space="preserve">18 Aug 2026
Spend: ₹0</t>
      </text>
    </comment>
    <comment authorId="0" ref="AW6">
      <text>
        <t xml:space="preserve">25 Aug 2026
Spend: ₹0</t>
      </text>
    </comment>
    <comment authorId="0" ref="AZ6">
      <text>
        <t xml:space="preserve">01 Sep 2026
Spend: ₹0</t>
      </text>
    </comment>
    <comment authorId="0" ref="BA6">
      <text>
        <t xml:space="preserve">08 Sep 2026
Spend: ₹0</t>
      </text>
    </comment>
    <comment authorId="0" ref="BB6">
      <text>
        <t xml:space="preserve">15 Sep 2026
Spend: ₹0</t>
      </text>
    </comment>
    <comment authorId="0" ref="BC6">
      <text>
        <t xml:space="preserve">22 Sep 2026
Spend: ₹0</t>
      </text>
    </comment>
    <comment authorId="0" ref="BD6">
      <text>
        <t xml:space="preserve">29 Sep 2026
Spend: ₹0</t>
      </text>
    </comment>
    <comment authorId="0" ref="BG6">
      <text>
        <t xml:space="preserve">06 Oct 2026
Spend: ₹0</t>
      </text>
    </comment>
    <comment authorId="0" ref="BH6">
      <text>
        <t xml:space="preserve">13 Oct 2026
Spend: ₹0</t>
      </text>
    </comment>
    <comment authorId="0" ref="BI6">
      <text>
        <t xml:space="preserve">20 Oct 2026
Spend: ₹0</t>
      </text>
    </comment>
    <comment authorId="0" ref="BJ6">
      <text>
        <t xml:space="preserve">27 Oct 2026
Spend: ₹0</t>
      </text>
    </comment>
    <comment authorId="0" ref="BM6">
      <text>
        <t xml:space="preserve">03 Nov 2026
Spend: ₹0</t>
      </text>
    </comment>
    <comment authorId="0" ref="BN6">
      <text>
        <t xml:space="preserve">10 Nov 2026
Spend: ₹0</t>
      </text>
    </comment>
    <comment authorId="0" ref="BO6">
      <text>
        <t xml:space="preserve">17 Nov 2026
Spend: ₹0</t>
      </text>
    </comment>
    <comment authorId="0" ref="BP6">
      <text>
        <t xml:space="preserve">24 Nov 2026
Spend: ₹0</t>
      </text>
    </comment>
    <comment authorId="0" ref="BS6">
      <text>
        <t xml:space="preserve">01 Dec 2026
Spend: ₹0</t>
      </text>
    </comment>
    <comment authorId="0" ref="BT6">
      <text>
        <t xml:space="preserve">08 Dec 2026
Spend: ₹0</t>
      </text>
    </comment>
    <comment authorId="0" ref="BU6">
      <text>
        <t xml:space="preserve">15 Dec 2026
Spend: ₹0</t>
      </text>
    </comment>
    <comment authorId="0" ref="BV6">
      <text>
        <t xml:space="preserve">22 Dec 2026
Spend: ₹0</t>
      </text>
    </comment>
    <comment authorId="0" ref="BW6">
      <text>
        <t xml:space="preserve">29 Dec 2026
Spend: ₹0</t>
      </text>
    </comment>
    <comment authorId="0" ref="C7">
      <text>
        <t xml:space="preserve">07 Jan 2026
Spend: ₹728</t>
      </text>
    </comment>
    <comment authorId="0" ref="D7">
      <text>
        <t xml:space="preserve">14 Jan 2026
Spend: ₹1220</t>
      </text>
    </comment>
    <comment authorId="0" ref="E7">
      <text>
        <t xml:space="preserve">21 Jan 2026
Spend: ₹820</t>
      </text>
    </comment>
    <comment authorId="0" ref="F7">
      <text>
        <t xml:space="preserve">28 Jan 2026
Spend: ₹520</t>
      </text>
    </comment>
    <comment authorId="0" ref="I7">
      <text>
        <t xml:space="preserve">04 Feb 2026
Spend: ₹699</t>
      </text>
    </comment>
    <comment authorId="0" ref="J7">
      <text>
        <t xml:space="preserve">11 Feb 2026
Spend: ₹690</t>
      </text>
    </comment>
    <comment authorId="0" ref="K7">
      <text>
        <t xml:space="preserve">18 Feb 2026
Spend: ₹430</t>
      </text>
    </comment>
    <comment authorId="0" ref="L7">
      <text>
        <t xml:space="preserve">25 Feb 2026
Spend: ₹310</t>
      </text>
    </comment>
    <comment authorId="0" ref="O7">
      <text>
        <t xml:space="preserve">04 Mar 2026
Spend: ₹379</t>
      </text>
    </comment>
    <comment authorId="0" ref="P7">
      <text>
        <t xml:space="preserve">11 Mar 2026
Spend: ₹699</t>
      </text>
    </comment>
    <comment authorId="0" ref="Q7">
      <text>
        <t xml:space="preserve">18 Mar 2026
Spend: ₹620</t>
      </text>
    </comment>
    <comment authorId="0" ref="R7">
      <text>
        <t xml:space="preserve">25 Mar 2026
Spend: ₹199</t>
      </text>
    </comment>
    <comment authorId="0" ref="U7">
      <text>
        <t xml:space="preserve">01 Apr 2026
Spend: ₹13850</t>
      </text>
    </comment>
    <comment authorId="0" ref="V7">
      <text>
        <t xml:space="preserve">08 Apr 2026
Spend: ₹1329</t>
      </text>
    </comment>
    <comment authorId="0" ref="W7">
      <text>
        <t xml:space="preserve">15 Apr 2026
Spend: ₹0</t>
      </text>
    </comment>
    <comment authorId="0" ref="X7">
      <text>
        <t xml:space="preserve">22 Apr 2026
Spend: ₹0</t>
      </text>
    </comment>
    <comment authorId="0" ref="Y7">
      <text>
        <t xml:space="preserve">29 Apr 2026
Spend: ₹0</t>
      </text>
    </comment>
    <comment authorId="0" ref="AB7">
      <text>
        <t xml:space="preserve">06 May 2026
Spend: ₹0</t>
      </text>
    </comment>
    <comment authorId="0" ref="AC7">
      <text>
        <t xml:space="preserve">13 May 2026
Spend: ₹0</t>
      </text>
    </comment>
    <comment authorId="0" ref="AD7">
      <text>
        <t xml:space="preserve">20 May 2026
Spend: ₹0</t>
      </text>
    </comment>
    <comment authorId="0" ref="AE7">
      <text>
        <t xml:space="preserve">27 May 2026
Spend: ₹0</t>
      </text>
    </comment>
    <comment authorId="0" ref="AG7">
      <text>
        <t xml:space="preserve">03 Jun 2026
Spend: ₹0</t>
      </text>
    </comment>
    <comment authorId="0" ref="AH7">
      <text>
        <t xml:space="preserve">10 Jun 2026
Spend: ₹0</t>
      </text>
    </comment>
    <comment authorId="0" ref="AI7">
      <text>
        <t xml:space="preserve">17 Jun 2026
Spend: ₹0</t>
      </text>
    </comment>
    <comment authorId="0" ref="AJ7">
      <text>
        <t xml:space="preserve">24 Jun 2026
Spend: ₹0</t>
      </text>
    </comment>
    <comment authorId="0" ref="AM7">
      <text>
        <t xml:space="preserve">01 Jul 2026
Spend: ₹0</t>
      </text>
    </comment>
    <comment authorId="0" ref="AN7">
      <text>
        <t xml:space="preserve">08 Jul 2026
Spend: ₹0</t>
      </text>
    </comment>
    <comment authorId="0" ref="AO7">
      <text>
        <t xml:space="preserve">15 Jul 2026
Spend: ₹0</t>
      </text>
    </comment>
    <comment authorId="0" ref="AP7">
      <text>
        <t xml:space="preserve">22 Jul 2026
Spend: ₹0</t>
      </text>
    </comment>
    <comment authorId="0" ref="AQ7">
      <text>
        <t xml:space="preserve">29 Jul 2026
Spend: ₹0</t>
      </text>
    </comment>
    <comment authorId="0" ref="AT7">
      <text>
        <t xml:space="preserve">05 Aug 2026
Spend: ₹0</t>
      </text>
    </comment>
    <comment authorId="0" ref="AU7">
      <text>
        <t xml:space="preserve">12 Aug 2026
Spend: ₹0</t>
      </text>
    </comment>
    <comment authorId="0" ref="AV7">
      <text>
        <t xml:space="preserve">19 Aug 2026
Spend: ₹0</t>
      </text>
    </comment>
    <comment authorId="0" ref="AW7">
      <text>
        <t xml:space="preserve">26 Aug 2026
Spend: ₹0</t>
      </text>
    </comment>
    <comment authorId="0" ref="AZ7">
      <text>
        <t xml:space="preserve">02 Sep 2026
Spend: ₹0</t>
      </text>
    </comment>
    <comment authorId="0" ref="BA7">
      <text>
        <t xml:space="preserve">09 Sep 2026
Spend: ₹0</t>
      </text>
    </comment>
    <comment authorId="0" ref="BB7">
      <text>
        <t xml:space="preserve">16 Sep 2026
Spend: ₹0</t>
      </text>
    </comment>
    <comment authorId="0" ref="BC7">
      <text>
        <t xml:space="preserve">23 Sep 2026
Spend: ₹0</t>
      </text>
    </comment>
    <comment authorId="0" ref="BD7">
      <text>
        <t xml:space="preserve">30 Sep 2026
Spend: ₹0</t>
      </text>
    </comment>
    <comment authorId="0" ref="BG7">
      <text>
        <t xml:space="preserve">07 Oct 2026
Spend: ₹0</t>
      </text>
    </comment>
    <comment authorId="0" ref="BH7">
      <text>
        <t xml:space="preserve">14 Oct 2026
Spend: ₹0</t>
      </text>
    </comment>
    <comment authorId="0" ref="BI7">
      <text>
        <t xml:space="preserve">21 Oct 2026
Spend: ₹0</t>
      </text>
    </comment>
    <comment authorId="0" ref="BJ7">
      <text>
        <t xml:space="preserve">28 Oct 2026
Spend: ₹0</t>
      </text>
    </comment>
    <comment authorId="0" ref="BM7">
      <text>
        <t xml:space="preserve">04 Nov 2026
Spend: ₹0</t>
      </text>
    </comment>
    <comment authorId="0" ref="BN7">
      <text>
        <t xml:space="preserve">11 Nov 2026
Spend: ₹0</t>
      </text>
    </comment>
    <comment authorId="0" ref="BO7">
      <text>
        <t xml:space="preserve">18 Nov 2026
Spend: ₹0</t>
      </text>
    </comment>
    <comment authorId="0" ref="BP7">
      <text>
        <t xml:space="preserve">25 Nov 2026
Spend: ₹0</t>
      </text>
    </comment>
    <comment authorId="0" ref="BS7">
      <text>
        <t xml:space="preserve">02 Dec 2026
Spend: ₹0</t>
      </text>
    </comment>
    <comment authorId="0" ref="BT7">
      <text>
        <t xml:space="preserve">09 Dec 2026
Spend: ₹0</t>
      </text>
    </comment>
    <comment authorId="0" ref="BU7">
      <text>
        <t xml:space="preserve">16 Dec 2026
Spend: ₹0</t>
      </text>
    </comment>
    <comment authorId="0" ref="BV7">
      <text>
        <t xml:space="preserve">23 Dec 2026
Spend: ₹0</t>
      </text>
    </comment>
    <comment authorId="0" ref="BW7">
      <text>
        <t xml:space="preserve">30 Dec 2026
Spend: ₹0</t>
      </text>
    </comment>
    <comment authorId="0" ref="B8">
      <text>
        <t xml:space="preserve">01 Jan 2026
Spend: ₹1780</t>
      </text>
    </comment>
    <comment authorId="0" ref="C8">
      <text>
        <t xml:space="preserve">08 Jan 2026
Spend: ₹3350</t>
      </text>
    </comment>
    <comment authorId="0" ref="D8">
      <text>
        <t xml:space="preserve">15 Jan 2026
Spend: ₹1180</t>
      </text>
    </comment>
    <comment authorId="0" ref="E8">
      <text>
        <t xml:space="preserve">22 Jan 2026
Spend: ₹850</t>
      </text>
    </comment>
    <comment authorId="0" ref="F8">
      <text>
        <t xml:space="preserve">29 Jan 2026
Spend: ₹400</t>
      </text>
    </comment>
    <comment authorId="0" ref="I8">
      <text>
        <t xml:space="preserve">05 Feb 2026
Spend: ₹2680</t>
      </text>
    </comment>
    <comment authorId="0" ref="J8">
      <text>
        <t xml:space="preserve">12 Feb 2026
Spend: ₹689</t>
      </text>
    </comment>
    <comment authorId="0" ref="K8">
      <text>
        <t xml:space="preserve">19 Feb 2026
Spend: ₹640</t>
      </text>
    </comment>
    <comment authorId="0" ref="L8">
      <text>
        <t xml:space="preserve">26 Feb 2026
Spend: ₹1520</t>
      </text>
    </comment>
    <comment authorId="0" ref="O8">
      <text>
        <t xml:space="preserve">05 Mar 2026
Spend: ₹1460</t>
      </text>
    </comment>
    <comment authorId="0" ref="P8">
      <text>
        <t xml:space="preserve">12 Mar 2026
Spend: ₹1030</t>
      </text>
    </comment>
    <comment authorId="0" ref="Q8">
      <text>
        <t xml:space="preserve">19 Mar 2026
Spend: ₹1610</t>
      </text>
    </comment>
    <comment authorId="0" ref="R8">
      <text>
        <t xml:space="preserve">26 Mar 2026
Spend: ₹1010</t>
      </text>
    </comment>
    <comment authorId="0" ref="U8">
      <text>
        <t xml:space="preserve">02 Apr 2026
Spend: ₹1079</t>
      </text>
    </comment>
    <comment authorId="0" ref="V8">
      <text>
        <t xml:space="preserve">09 Apr 2026
Spend: ₹420</t>
      </text>
    </comment>
    <comment authorId="0" ref="W8">
      <text>
        <t xml:space="preserve">16 Apr 2026
Spend: ₹0</t>
      </text>
    </comment>
    <comment authorId="0" ref="X8">
      <text>
        <t xml:space="preserve">23 Apr 2026
Spend: ₹0</t>
      </text>
    </comment>
    <comment authorId="0" ref="Y8">
      <text>
        <t xml:space="preserve">30 Apr 2026
Spend: ₹0</t>
      </text>
    </comment>
    <comment authorId="0" ref="AB8">
      <text>
        <t xml:space="preserve">07 May 2026
Spend: ₹0</t>
      </text>
    </comment>
    <comment authorId="0" ref="AC8">
      <text>
        <t xml:space="preserve">14 May 2026
Spend: ₹0</t>
      </text>
    </comment>
    <comment authorId="0" ref="AD8">
      <text>
        <t xml:space="preserve">21 May 2026
Spend: ₹0</t>
      </text>
    </comment>
    <comment authorId="0" ref="AE8">
      <text>
        <t xml:space="preserve">28 May 2026
Spend: ₹0</t>
      </text>
    </comment>
    <comment authorId="0" ref="AG8">
      <text>
        <t xml:space="preserve">04 Jun 2026
Spend: ₹0</t>
      </text>
    </comment>
    <comment authorId="0" ref="AH8">
      <text>
        <t xml:space="preserve">11 Jun 2026
Spend: ₹0</t>
      </text>
    </comment>
    <comment authorId="0" ref="AI8">
      <text>
        <t xml:space="preserve">18 Jun 2026
Spend: ₹0</t>
      </text>
    </comment>
    <comment authorId="0" ref="AJ8">
      <text>
        <t xml:space="preserve">25 Jun 2026
Spend: ₹0</t>
      </text>
    </comment>
    <comment authorId="0" ref="AM8">
      <text>
        <t xml:space="preserve">02 Jul 2026
Spend: ₹0</t>
      </text>
    </comment>
    <comment authorId="0" ref="AN8">
      <text>
        <t xml:space="preserve">09 Jul 2026
Spend: ₹0</t>
      </text>
    </comment>
    <comment authorId="0" ref="AO8">
      <text>
        <t xml:space="preserve">16 Jul 2026
Spend: ₹0</t>
      </text>
    </comment>
    <comment authorId="0" ref="AP8">
      <text>
        <t xml:space="preserve">23 Jul 2026
Spend: ₹0</t>
      </text>
    </comment>
    <comment authorId="0" ref="AQ8">
      <text>
        <t xml:space="preserve">30 Jul 2026
Spend: ₹0</t>
      </text>
    </comment>
    <comment authorId="0" ref="AT8">
      <text>
        <t xml:space="preserve">06 Aug 2026
Spend: ₹0</t>
      </text>
    </comment>
    <comment authorId="0" ref="AU8">
      <text>
        <t xml:space="preserve">13 Aug 2026
Spend: ₹0</t>
      </text>
    </comment>
    <comment authorId="0" ref="AV8">
      <text>
        <t xml:space="preserve">20 Aug 2026
Spend: ₹0</t>
      </text>
    </comment>
    <comment authorId="0" ref="AW8">
      <text>
        <t xml:space="preserve">27 Aug 2026
Spend: ₹0</t>
      </text>
    </comment>
    <comment authorId="0" ref="AZ8">
      <text>
        <t xml:space="preserve">03 Sep 2026
Spend: ₹0</t>
      </text>
    </comment>
    <comment authorId="0" ref="BA8">
      <text>
        <t xml:space="preserve">10 Sep 2026
Spend: ₹0</t>
      </text>
    </comment>
    <comment authorId="0" ref="BB8">
      <text>
        <t xml:space="preserve">17 Sep 2026
Spend: ₹0</t>
      </text>
    </comment>
    <comment authorId="0" ref="BC8">
      <text>
        <t xml:space="preserve">24 Sep 2026
Spend: ₹0</t>
      </text>
    </comment>
    <comment authorId="0" ref="BF8">
      <text>
        <t xml:space="preserve">01 Oct 2026
Spend: ₹0</t>
      </text>
    </comment>
    <comment authorId="0" ref="BG8">
      <text>
        <t xml:space="preserve">08 Oct 2026
Spend: ₹0</t>
      </text>
    </comment>
    <comment authorId="0" ref="BH8">
      <text>
        <t xml:space="preserve">15 Oct 2026
Spend: ₹0</t>
      </text>
    </comment>
    <comment authorId="0" ref="BI8">
      <text>
        <t xml:space="preserve">22 Oct 2026
Spend: ₹0</t>
      </text>
    </comment>
    <comment authorId="0" ref="BJ8">
      <text>
        <t xml:space="preserve">29 Oct 2026
Spend: ₹0</t>
      </text>
    </comment>
    <comment authorId="0" ref="BM8">
      <text>
        <t xml:space="preserve">05 Nov 2026
Spend: ₹0</t>
      </text>
    </comment>
    <comment authorId="0" ref="BN8">
      <text>
        <t xml:space="preserve">12 Nov 2026
Spend: ₹0</t>
      </text>
    </comment>
    <comment authorId="0" ref="BO8">
      <text>
        <t xml:space="preserve">19 Nov 2026
Spend: ₹0</t>
      </text>
    </comment>
    <comment authorId="0" ref="BP8">
      <text>
        <t xml:space="preserve">26 Nov 2026
Spend: ₹0</t>
      </text>
    </comment>
    <comment authorId="0" ref="BS8">
      <text>
        <t xml:space="preserve">03 Dec 2026
Spend: ₹0</t>
      </text>
    </comment>
    <comment authorId="0" ref="BT8">
      <text>
        <t xml:space="preserve">10 Dec 2026
Spend: ₹0</t>
      </text>
    </comment>
    <comment authorId="0" ref="BU8">
      <text>
        <t xml:space="preserve">17 Dec 2026
Spend: ₹0</t>
      </text>
    </comment>
    <comment authorId="0" ref="BV8">
      <text>
        <t xml:space="preserve">24 Dec 2026
Spend: ₹0</t>
      </text>
    </comment>
    <comment authorId="0" ref="BW8">
      <text>
        <t xml:space="preserve">31 Dec 2026
Spend: ₹0</t>
      </text>
    </comment>
    <comment authorId="0" ref="B9">
      <text>
        <t xml:space="preserve">02 Jan 2026
Spend: ₹13950</t>
      </text>
    </comment>
    <comment authorId="0" ref="C9">
      <text>
        <t xml:space="preserve">09 Jan 2026
Spend: ₹1500</t>
      </text>
    </comment>
    <comment authorId="0" ref="D9">
      <text>
        <t xml:space="preserve">16 Jan 2026
Spend: ₹1620</t>
      </text>
    </comment>
    <comment authorId="0" ref="E9">
      <text>
        <t xml:space="preserve">23 Jan 2026
Spend: ₹1040</t>
      </text>
    </comment>
    <comment authorId="0" ref="F9">
      <text>
        <t xml:space="preserve">30 Jan 2026
Spend: ₹290</t>
      </text>
    </comment>
    <comment authorId="0" ref="I9">
      <text>
        <t xml:space="preserve">06 Feb 2026
Spend: ₹1550</t>
      </text>
    </comment>
    <comment authorId="0" ref="J9">
      <text>
        <t xml:space="preserve">13 Feb 2026
Spend: ₹3000</t>
      </text>
    </comment>
    <comment authorId="0" ref="K9">
      <text>
        <t xml:space="preserve">20 Feb 2026
Spend: ₹1500</t>
      </text>
    </comment>
    <comment authorId="0" ref="L9">
      <text>
        <t xml:space="preserve">27 Feb 2026
Spend: ₹450</t>
      </text>
    </comment>
    <comment authorId="0" ref="O9">
      <text>
        <t xml:space="preserve">06 Mar 2026
Spend: ₹1900</t>
      </text>
    </comment>
    <comment authorId="0" ref="P9">
      <text>
        <t xml:space="preserve">13 Mar 2026
Spend: ₹2000</t>
      </text>
    </comment>
    <comment authorId="0" ref="Q9">
      <text>
        <t xml:space="preserve">20 Mar 2026
Spend: ₹1800</t>
      </text>
    </comment>
    <comment authorId="0" ref="R9">
      <text>
        <t xml:space="preserve">27 Mar 2026
Spend: ₹1680</t>
      </text>
    </comment>
    <comment authorId="0" ref="U9">
      <text>
        <t xml:space="preserve">03 Apr 2026
Spend: ₹2180</t>
      </text>
    </comment>
    <comment authorId="0" ref="V9">
      <text>
        <t xml:space="preserve">10 Apr 2026
Spend: ₹1000</t>
      </text>
    </comment>
    <comment authorId="0" ref="W9">
      <text>
        <t xml:space="preserve">17 Apr 2026
Spend: ₹0</t>
      </text>
    </comment>
    <comment authorId="0" ref="X9">
      <text>
        <t xml:space="preserve">24 Apr 2026
Spend: ₹0</t>
      </text>
    </comment>
    <comment authorId="0" ref="AA9">
      <text>
        <t xml:space="preserve">01 May 2026
Spend: ₹0</t>
      </text>
    </comment>
    <comment authorId="0" ref="AB9">
      <text>
        <t xml:space="preserve">08 May 2026
Spend: ₹0</t>
      </text>
    </comment>
    <comment authorId="0" ref="AC9">
      <text>
        <t xml:space="preserve">15 May 2026
Spend: ₹0</t>
      </text>
    </comment>
    <comment authorId="0" ref="AD9">
      <text>
        <t xml:space="preserve">22 May 2026
Spend: ₹0</t>
      </text>
    </comment>
    <comment authorId="0" ref="AE9">
      <text>
        <t xml:space="preserve">29 May 2026
Spend: ₹0</t>
      </text>
    </comment>
    <comment authorId="0" ref="AG9">
      <text>
        <t xml:space="preserve">05 Jun 2026
Spend: ₹0</t>
      </text>
    </comment>
    <comment authorId="0" ref="AH9">
      <text>
        <t xml:space="preserve">12 Jun 2026
Spend: ₹0</t>
      </text>
    </comment>
    <comment authorId="0" ref="AI9">
      <text>
        <t xml:space="preserve">19 Jun 2026
Spend: ₹0</t>
      </text>
    </comment>
    <comment authorId="0" ref="AJ9">
      <text>
        <t xml:space="preserve">26 Jun 2026
Spend: ₹0</t>
      </text>
    </comment>
    <comment authorId="0" ref="AM9">
      <text>
        <t xml:space="preserve">03 Jul 2026
Spend: ₹0</t>
      </text>
    </comment>
    <comment authorId="0" ref="AN9">
      <text>
        <t xml:space="preserve">10 Jul 2026
Spend: ₹0</t>
      </text>
    </comment>
    <comment authorId="0" ref="AO9">
      <text>
        <t xml:space="preserve">17 Jul 2026
Spend: ₹0</t>
      </text>
    </comment>
    <comment authorId="0" ref="AP9">
      <text>
        <t xml:space="preserve">24 Jul 2026
Spend: ₹0</t>
      </text>
    </comment>
    <comment authorId="0" ref="AQ9">
      <text>
        <t xml:space="preserve">31 Jul 2026
Spend: ₹0</t>
      </text>
    </comment>
    <comment authorId="0" ref="AT9">
      <text>
        <t xml:space="preserve">07 Aug 2026
Spend: ₹0</t>
      </text>
    </comment>
    <comment authorId="0" ref="AU9">
      <text>
        <t xml:space="preserve">14 Aug 2026
Spend: ₹0</t>
      </text>
    </comment>
    <comment authorId="0" ref="AV9">
      <text>
        <t xml:space="preserve">21 Aug 2026
Spend: ₹0</t>
      </text>
    </comment>
    <comment authorId="0" ref="AW9">
      <text>
        <t xml:space="preserve">28 Aug 2026
Spend: ₹0</t>
      </text>
    </comment>
    <comment authorId="0" ref="AZ9">
      <text>
        <t xml:space="preserve">04 Sep 2026
Spend: ₹0</t>
      </text>
    </comment>
    <comment authorId="0" ref="BA9">
      <text>
        <t xml:space="preserve">11 Sep 2026
Spend: ₹0</t>
      </text>
    </comment>
    <comment authorId="0" ref="BB9">
      <text>
        <t xml:space="preserve">18 Sep 2026
Spend: ₹0</t>
      </text>
    </comment>
    <comment authorId="0" ref="BC9">
      <text>
        <t xml:space="preserve">25 Sep 2026
Spend: ₹0</t>
      </text>
    </comment>
    <comment authorId="0" ref="BF9">
      <text>
        <t xml:space="preserve">02 Oct 2026
Spend: ₹0</t>
      </text>
    </comment>
    <comment authorId="0" ref="BG9">
      <text>
        <t xml:space="preserve">09 Oct 2026
Spend: ₹0</t>
      </text>
    </comment>
    <comment authorId="0" ref="BH9">
      <text>
        <t xml:space="preserve">16 Oct 2026
Spend: ₹0</t>
      </text>
    </comment>
    <comment authorId="0" ref="BI9">
      <text>
        <t xml:space="preserve">23 Oct 2026
Spend: ₹0</t>
      </text>
    </comment>
    <comment authorId="0" ref="BJ9">
      <text>
        <t xml:space="preserve">30 Oct 2026
Spend: ₹0</t>
      </text>
    </comment>
    <comment authorId="0" ref="BM9">
      <text>
        <t xml:space="preserve">06 Nov 2026
Spend: ₹0</t>
      </text>
    </comment>
    <comment authorId="0" ref="BN9">
      <text>
        <t xml:space="preserve">13 Nov 2026
Spend: ₹0</t>
      </text>
    </comment>
    <comment authorId="0" ref="BO9">
      <text>
        <t xml:space="preserve">20 Nov 2026
Spend: ₹0</t>
      </text>
    </comment>
    <comment authorId="0" ref="BP9">
      <text>
        <t xml:space="preserve">27 Nov 2026
Spend: ₹0</t>
      </text>
    </comment>
    <comment authorId="0" ref="BS9">
      <text>
        <t xml:space="preserve">04 Dec 2026
Spend: ₹0</t>
      </text>
    </comment>
    <comment authorId="0" ref="BT9">
      <text>
        <t xml:space="preserve">11 Dec 2026
Spend: ₹0</t>
      </text>
    </comment>
    <comment authorId="0" ref="BU9">
      <text>
        <t xml:space="preserve">18 Dec 2026
Spend: ₹0</t>
      </text>
    </comment>
    <comment authorId="0" ref="BV9">
      <text>
        <t xml:space="preserve">25 Dec 2026
Spend: ₹0</t>
      </text>
    </comment>
    <comment authorId="0" ref="B10">
      <text>
        <t xml:space="preserve">03 Jan 2026
Spend: ₹5380</t>
      </text>
    </comment>
    <comment authorId="0" ref="C10">
      <text>
        <t xml:space="preserve">10 Jan 2026
Spend: ₹5500</t>
      </text>
    </comment>
    <comment authorId="0" ref="D10">
      <text>
        <t xml:space="preserve">17 Jan 2026
Spend: ₹2430</t>
      </text>
    </comment>
    <comment authorId="0" ref="E10">
      <text>
        <t xml:space="preserve">24 Jan 2026
Spend: ₹2750</t>
      </text>
    </comment>
    <comment authorId="0" ref="F10">
      <text>
        <t xml:space="preserve">31 Jan 2026
Spend: ₹350</t>
      </text>
    </comment>
    <comment authorId="0" ref="I10">
      <text>
        <t xml:space="preserve">07 Feb 2026
Spend: ₹2650</t>
      </text>
    </comment>
    <comment authorId="0" ref="J10">
      <text>
        <t xml:space="preserve">14 Feb 2026
Spend: ₹4250</t>
      </text>
    </comment>
    <comment authorId="0" ref="K10">
      <text>
        <t xml:space="preserve">21 Feb 2026
Spend: ₹900</t>
      </text>
    </comment>
    <comment authorId="0" ref="L10">
      <text>
        <t xml:space="preserve">28 Feb 2026
Spend: ₹850</t>
      </text>
    </comment>
    <comment authorId="0" ref="O10">
      <text>
        <t xml:space="preserve">07 Mar 2026
Spend: ₹1800</t>
      </text>
    </comment>
    <comment authorId="0" ref="P10">
      <text>
        <t xml:space="preserve">14 Mar 2026
Spend: ₹5350</t>
      </text>
    </comment>
    <comment authorId="0" ref="Q10">
      <text>
        <t xml:space="preserve">21 Mar 2026
Spend: ₹3270</t>
      </text>
    </comment>
    <comment authorId="0" ref="R10">
      <text>
        <t xml:space="preserve">28 Mar 2026
Spend: ₹3050</t>
      </text>
    </comment>
    <comment authorId="0" ref="U10">
      <text>
        <t xml:space="preserve">04 Apr 2026
Spend: ₹1580</t>
      </text>
    </comment>
    <comment authorId="0" ref="V10">
      <text>
        <t xml:space="preserve">11 Apr 2026
Spend: ₹2330</t>
      </text>
    </comment>
    <comment authorId="0" ref="W10">
      <text>
        <t xml:space="preserve">18 Apr 2026
Spend: ₹0</t>
      </text>
    </comment>
    <comment authorId="0" ref="X10">
      <text>
        <t xml:space="preserve">25 Apr 2026
Spend: ₹0</t>
      </text>
    </comment>
    <comment authorId="0" ref="AA10">
      <text>
        <t xml:space="preserve">02 May 2026
Spend: ₹0</t>
      </text>
    </comment>
    <comment authorId="0" ref="AB10">
      <text>
        <t xml:space="preserve">09 May 2026
Spend: ₹0</t>
      </text>
    </comment>
    <comment authorId="0" ref="AC10">
      <text>
        <t xml:space="preserve">16 May 2026
Spend: ₹0</t>
      </text>
    </comment>
    <comment authorId="0" ref="AD10">
      <text>
        <t xml:space="preserve">23 May 2026
Spend: ₹0</t>
      </text>
    </comment>
    <comment authorId="0" ref="AE10">
      <text>
        <t xml:space="preserve">30 May 2026
Spend: ₹0</t>
      </text>
    </comment>
    <comment authorId="0" ref="AG10">
      <text>
        <t xml:space="preserve">06 Jun 2026
Spend: ₹0</t>
      </text>
    </comment>
    <comment authorId="0" ref="AH10">
      <text>
        <t xml:space="preserve">13 Jun 2026
Spend: ₹0</t>
      </text>
    </comment>
    <comment authorId="0" ref="AI10">
      <text>
        <t xml:space="preserve">20 Jun 2026
Spend: ₹0</t>
      </text>
    </comment>
    <comment authorId="0" ref="AJ10">
      <text>
        <t xml:space="preserve">27 Jun 2026
Spend: ₹0</t>
      </text>
    </comment>
    <comment authorId="0" ref="AM10">
      <text>
        <t xml:space="preserve">04 Jul 2026
Spend: ₹0</t>
      </text>
    </comment>
    <comment authorId="0" ref="AN10">
      <text>
        <t xml:space="preserve">11 Jul 2026
Spend: ₹0</t>
      </text>
    </comment>
    <comment authorId="0" ref="AO10">
      <text>
        <t xml:space="preserve">18 Jul 2026
Spend: ₹0</t>
      </text>
    </comment>
    <comment authorId="0" ref="AP10">
      <text>
        <t xml:space="preserve">25 Jul 2026
Spend: ₹0</t>
      </text>
    </comment>
    <comment authorId="0" ref="AS10">
      <text>
        <t xml:space="preserve">01 Aug 2026
Spend: ₹0</t>
      </text>
    </comment>
    <comment authorId="0" ref="AT10">
      <text>
        <t xml:space="preserve">08 Aug 2026
Spend: ₹0</t>
      </text>
    </comment>
    <comment authorId="0" ref="AU10">
      <text>
        <t xml:space="preserve">15 Aug 2026
Spend: ₹0</t>
      </text>
    </comment>
    <comment authorId="0" ref="AV10">
      <text>
        <t xml:space="preserve">22 Aug 2026
Spend: ₹0</t>
      </text>
    </comment>
    <comment authorId="0" ref="AW10">
      <text>
        <t xml:space="preserve">29 Aug 2026
Spend: ₹0</t>
      </text>
    </comment>
    <comment authorId="0" ref="AZ10">
      <text>
        <t xml:space="preserve">05 Sep 2026
Spend: ₹0</t>
      </text>
    </comment>
    <comment authorId="0" ref="BA10">
      <text>
        <t xml:space="preserve">12 Sep 2026
Spend: ₹0</t>
      </text>
    </comment>
    <comment authorId="0" ref="BB10">
      <text>
        <t xml:space="preserve">19 Sep 2026
Spend: ₹0</t>
      </text>
    </comment>
    <comment authorId="0" ref="BC10">
      <text>
        <t xml:space="preserve">26 Sep 2026
Spend: ₹0</t>
      </text>
    </comment>
    <comment authorId="0" ref="BF10">
      <text>
        <t xml:space="preserve">03 Oct 2026
Spend: ₹0</t>
      </text>
    </comment>
    <comment authorId="0" ref="BG10">
      <text>
        <t xml:space="preserve">10 Oct 2026
Spend: ₹0</t>
      </text>
    </comment>
    <comment authorId="0" ref="BH10">
      <text>
        <t xml:space="preserve">17 Oct 2026
Spend: ₹0</t>
      </text>
    </comment>
    <comment authorId="0" ref="BI10">
      <text>
        <t xml:space="preserve">24 Oct 2026
Spend: ₹0</t>
      </text>
    </comment>
    <comment authorId="0" ref="BJ10">
      <text>
        <t xml:space="preserve">31 Oct 2026
Spend: ₹0</t>
      </text>
    </comment>
    <comment authorId="0" ref="BM10">
      <text>
        <t xml:space="preserve">07 Nov 2026
Spend: ₹0</t>
      </text>
    </comment>
    <comment authorId="0" ref="BN10">
      <text>
        <t xml:space="preserve">14 Nov 2026
Spend: ₹0</t>
      </text>
    </comment>
    <comment authorId="0" ref="BO10">
      <text>
        <t xml:space="preserve">21 Nov 2026
Spend: ₹0</t>
      </text>
    </comment>
    <comment authorId="0" ref="BP10">
      <text>
        <t xml:space="preserve">28 Nov 2026
Spend: ₹0</t>
      </text>
    </comment>
    <comment authorId="0" ref="BS10">
      <text>
        <t xml:space="preserve">05 Dec 2026
Spend: ₹0</t>
      </text>
    </comment>
    <comment authorId="0" ref="BT10">
      <text>
        <t xml:space="preserve">12 Dec 2026
Spend: ₹0</t>
      </text>
    </comment>
    <comment authorId="0" ref="BU10">
      <text>
        <t xml:space="preserve">19 Dec 2026
Spend: ₹0</t>
      </text>
    </comment>
    <comment authorId="0" ref="BV10">
      <text>
        <t xml:space="preserve">26 Dec 2026
Spend: ₹0</t>
      </text>
    </comment>
    <comment authorId="0" ref="B11">
      <text>
        <t xml:space="preserve">04 Jan 2026
Spend: ₹2770</t>
      </text>
    </comment>
    <comment authorId="0" ref="C11">
      <text>
        <t xml:space="preserve">11 Jan 2026
Spend: ₹1580</t>
      </text>
    </comment>
    <comment authorId="0" ref="D11">
      <text>
        <t xml:space="preserve">18 Jan 2026
Spend: ₹1980</t>
      </text>
    </comment>
    <comment authorId="0" ref="E11">
      <text>
        <t xml:space="preserve">25 Jan 2026
Spend: ₹1000</t>
      </text>
    </comment>
    <comment authorId="0" ref="H11">
      <text>
        <t xml:space="preserve">01 Feb 2026
Spend: ₹13530</t>
      </text>
    </comment>
    <comment authorId="0" ref="I11">
      <text>
        <t xml:space="preserve">08 Feb 2026
Spend: ₹1900</t>
      </text>
    </comment>
    <comment authorId="0" ref="J11">
      <text>
        <t xml:space="preserve">15 Feb 2026
Spend: ₹1150</t>
      </text>
    </comment>
    <comment authorId="0" ref="K11">
      <text>
        <t xml:space="preserve">22 Feb 2026
Spend: ₹1850</t>
      </text>
    </comment>
    <comment authorId="0" ref="N11">
      <text>
        <t xml:space="preserve">01 Mar 2026
Spend: ₹14110</t>
      </text>
    </comment>
    <comment authorId="0" ref="O11">
      <text>
        <t xml:space="preserve">08 Mar 2026
Spend: ₹3350</t>
      </text>
    </comment>
    <comment authorId="0" ref="P11">
      <text>
        <t xml:space="preserve">15 Mar 2026
Spend: ₹1150</t>
      </text>
    </comment>
    <comment authorId="0" ref="Q11">
      <text>
        <t xml:space="preserve">22 Mar 2026
Spend: ₹1420</t>
      </text>
    </comment>
    <comment authorId="0" ref="R11">
      <text>
        <t xml:space="preserve">29 Mar 2026
Spend: ₹1500</t>
      </text>
    </comment>
    <comment authorId="0" ref="U11">
      <text>
        <t xml:space="preserve">05 Apr 2026
Spend: ₹768</t>
      </text>
    </comment>
    <comment authorId="0" ref="V11">
      <text>
        <t xml:space="preserve">12 Apr 2026
Spend: ₹930</t>
      </text>
    </comment>
    <comment authorId="0" ref="W11">
      <text>
        <t xml:space="preserve">19 Apr 2026
Spend: ₹0</t>
      </text>
    </comment>
    <comment authorId="0" ref="X11">
      <text>
        <t xml:space="preserve">26 Apr 2026
Spend: ₹0</t>
      </text>
    </comment>
    <comment authorId="0" ref="AA11">
      <text>
        <t xml:space="preserve">03 May 2026
Spend: ₹0</t>
      </text>
    </comment>
    <comment authorId="0" ref="AB11">
      <text>
        <t xml:space="preserve">10 May 2026
Spend: ₹0</t>
      </text>
    </comment>
    <comment authorId="0" ref="AC11">
      <text>
        <t xml:space="preserve">17 May 2026
Spend: ₹0</t>
      </text>
    </comment>
    <comment authorId="0" ref="AD11">
      <text>
        <t xml:space="preserve">24 May 2026
Spend: ₹0</t>
      </text>
    </comment>
    <comment authorId="0" ref="AE11">
      <text>
        <t xml:space="preserve">31 May 2026
Spend: ₹0</t>
      </text>
    </comment>
    <comment authorId="0" ref="AG11">
      <text>
        <t xml:space="preserve">07 Jun 2026
Spend: ₹0</t>
      </text>
    </comment>
    <comment authorId="0" ref="AH11">
      <text>
        <t xml:space="preserve">14 Jun 2026
Spend: ₹0</t>
      </text>
    </comment>
    <comment authorId="0" ref="AI11">
      <text>
        <t xml:space="preserve">21 Jun 2026
Spend: ₹0</t>
      </text>
    </comment>
    <comment authorId="0" ref="AJ11">
      <text>
        <t xml:space="preserve">28 Jun 2026
Spend: ₹0</t>
      </text>
    </comment>
    <comment authorId="0" ref="AM11">
      <text>
        <t xml:space="preserve">05 Jul 2026
Spend: ₹0</t>
      </text>
    </comment>
    <comment authorId="0" ref="AN11">
      <text>
        <t xml:space="preserve">12 Jul 2026
Spend: ₹0</t>
      </text>
    </comment>
    <comment authorId="0" ref="AO11">
      <text>
        <t xml:space="preserve">19 Jul 2026
Spend: ₹0</t>
      </text>
    </comment>
    <comment authorId="0" ref="AP11">
      <text>
        <t xml:space="preserve">26 Jul 2026
Spend: ₹0</t>
      </text>
    </comment>
    <comment authorId="0" ref="AS11">
      <text>
        <t xml:space="preserve">02 Aug 2026
Spend: ₹0</t>
      </text>
    </comment>
    <comment authorId="0" ref="AT11">
      <text>
        <t xml:space="preserve">09 Aug 2026
Spend: ₹0</t>
      </text>
    </comment>
    <comment authorId="0" ref="AU11">
      <text>
        <t xml:space="preserve">16 Aug 2026
Spend: ₹0</t>
      </text>
    </comment>
    <comment authorId="0" ref="AV11">
      <text>
        <t xml:space="preserve">23 Aug 2026
Spend: ₹0</t>
      </text>
    </comment>
    <comment authorId="0" ref="AW11">
      <text>
        <t xml:space="preserve">30 Aug 2026
Spend: ₹0</t>
      </text>
    </comment>
    <comment authorId="0" ref="AZ11">
      <text>
        <t xml:space="preserve">06 Sep 2026
Spend: ₹0</t>
      </text>
    </comment>
    <comment authorId="0" ref="BA11">
      <text>
        <t xml:space="preserve">13 Sep 2026
Spend: ₹0</t>
      </text>
    </comment>
    <comment authorId="0" ref="BB11">
      <text>
        <t xml:space="preserve">20 Sep 2026
Spend: ₹0</t>
      </text>
    </comment>
    <comment authorId="0" ref="BC11">
      <text>
        <t xml:space="preserve">27 Sep 2026
Spend: ₹0</t>
      </text>
    </comment>
    <comment authorId="0" ref="BF11">
      <text>
        <t xml:space="preserve">04 Oct 2026
Spend: ₹0</t>
      </text>
    </comment>
    <comment authorId="0" ref="BG11">
      <text>
        <t xml:space="preserve">11 Oct 2026
Spend: ₹0</t>
      </text>
    </comment>
    <comment authorId="0" ref="BH11">
      <text>
        <t xml:space="preserve">18 Oct 2026
Spend: ₹0</t>
      </text>
    </comment>
    <comment authorId="0" ref="BI11">
      <text>
        <t xml:space="preserve">25 Oct 2026
Spend: ₹0</t>
      </text>
    </comment>
    <comment authorId="0" ref="BL11">
      <text>
        <t xml:space="preserve">01 Nov 2026
Spend: ₹0</t>
      </text>
    </comment>
    <comment authorId="0" ref="BM11">
      <text>
        <t xml:space="preserve">08 Nov 2026
Spend: ₹0</t>
      </text>
    </comment>
    <comment authorId="0" ref="BN11">
      <text>
        <t xml:space="preserve">15 Nov 2026
Spend: ₹0</t>
      </text>
    </comment>
    <comment authorId="0" ref="BO11">
      <text>
        <t xml:space="preserve">22 Nov 2026
Spend: ₹0</t>
      </text>
    </comment>
    <comment authorId="0" ref="BP11">
      <text>
        <t xml:space="preserve">29 Nov 2026
Spend: ₹0</t>
      </text>
    </comment>
    <comment authorId="0" ref="BS11">
      <text>
        <t xml:space="preserve">06 Dec 2026
Spend: ₹0</t>
      </text>
    </comment>
    <comment authorId="0" ref="BT11">
      <text>
        <t xml:space="preserve">13 Dec 2026
Spend: ₹0</t>
      </text>
    </comment>
    <comment authorId="0" ref="BU11">
      <text>
        <t xml:space="preserve">20 Dec 2026
Spend: ₹0</t>
      </text>
    </comment>
    <comment authorId="0" ref="BV11">
      <text>
        <t xml:space="preserve">27 Dec 2026
Spend: ₹0</t>
      </text>
    </comment>
  </commentList>
</comments>
</file>

<file path=xl/sharedStrings.xml><?xml version="1.0" encoding="utf-8"?>
<sst xmlns="http://schemas.openxmlformats.org/spreadsheetml/2006/main" count="1533" uniqueCount="368">
  <si>
    <t>Year</t>
  </si>
  <si>
    <t>Salary</t>
  </si>
  <si>
    <t>Needs</t>
  </si>
  <si>
    <t>Wants</t>
  </si>
  <si>
    <t>Savings</t>
  </si>
  <si>
    <t>Enter current salary at B2.
Assuming salary increases 10% per year. Update actuals every year
This follows the 50:30:20 rule. 
Use the 'Daily Expense Tracker' sheet to add all expense details.
Double click on a date row to select from calander.
Update Category List and Payment Mode as needed. 
You will also have to assign colours to new items. This would be a one time setup. 
Go to Daily Expense Tracker &gt; select the respective dropdown &gt; edit &gt; asssign colors &gt; assign to all
For any support please reach out to 
mayur.bhatolia@gmail.com
@mayurbhatolia (instagram)</t>
  </si>
  <si>
    <t>Category List</t>
  </si>
  <si>
    <t>Type</t>
  </si>
  <si>
    <t>Payment Mode</t>
  </si>
  <si>
    <t>Life Infrastructure</t>
  </si>
  <si>
    <t>Need</t>
  </si>
  <si>
    <t>Credit Card</t>
  </si>
  <si>
    <t>Future Me</t>
  </si>
  <si>
    <t>Saving</t>
  </si>
  <si>
    <t>Debit Card</t>
  </si>
  <si>
    <t>Performance &amp; Growth</t>
  </si>
  <si>
    <t>UPI</t>
  </si>
  <si>
    <t>Relationships &amp; Generosity</t>
  </si>
  <si>
    <t>Want</t>
  </si>
  <si>
    <t>Cash</t>
  </si>
  <si>
    <t>Lifestyle Enjoyment</t>
  </si>
  <si>
    <t>Bank Transfer</t>
  </si>
  <si>
    <t>Weekly limit</t>
  </si>
  <si>
    <t>Date</t>
  </si>
  <si>
    <t>Description</t>
  </si>
  <si>
    <t>Category</t>
  </si>
  <si>
    <t>Amount</t>
  </si>
  <si>
    <t>Notes</t>
  </si>
  <si>
    <t>Uber late night - NYE</t>
  </si>
  <si>
    <t>NYE cab home</t>
  </si>
  <si>
    <t>Brunch out with friends</t>
  </si>
  <si>
    <t>New year brunch</t>
  </si>
  <si>
    <t>Swiggy dinner</t>
  </si>
  <si>
    <t>Too tired to cook</t>
  </si>
  <si>
    <t>House Rent</t>
  </si>
  <si>
    <t>Monthly rent</t>
  </si>
  <si>
    <t>Groceries - BigBasket</t>
  </si>
  <si>
    <t>Monthly stock</t>
  </si>
  <si>
    <t>Swiggy lunch</t>
  </si>
  <si>
    <t>Office lunch</t>
  </si>
  <si>
    <t>Chai tapri</t>
  </si>
  <si>
    <t>Evening chai</t>
  </si>
  <si>
    <t>Myntra sale - clothes</t>
  </si>
  <si>
    <t>New year sale haul</t>
  </si>
  <si>
    <t>Movie + popcorn</t>
  </si>
  <si>
    <t>Weekend movie</t>
  </si>
  <si>
    <t>Dinner out - Barbeque Nation</t>
  </si>
  <si>
    <t>Saturday dinner</t>
  </si>
  <si>
    <t>Uber rides</t>
  </si>
  <si>
    <t>Mall + movie</t>
  </si>
  <si>
    <t>Zomato brunch</t>
  </si>
  <si>
    <t>Lazy Sunday</t>
  </si>
  <si>
    <t>Groceries - Zepto</t>
  </si>
  <si>
    <t>Quick essentials</t>
  </si>
  <si>
    <t>Amazon - Bluetooth speaker</t>
  </si>
  <si>
    <t>Impulse buy</t>
  </si>
  <si>
    <t>Metro Card Recharge</t>
  </si>
  <si>
    <t>Monthly commute</t>
  </si>
  <si>
    <t>Mobile Recharge</t>
  </si>
  <si>
    <t>Airtel plan</t>
  </si>
  <si>
    <t>Coffee - Starbucks</t>
  </si>
  <si>
    <t>Monday blues</t>
  </si>
  <si>
    <t>Tired after work</t>
  </si>
  <si>
    <t>Gym Membership</t>
  </si>
  <si>
    <t>Monthly gym</t>
  </si>
  <si>
    <t>Uber to office</t>
  </si>
  <si>
    <t>Running late</t>
  </si>
  <si>
    <t>Lunch canteen</t>
  </si>
  <si>
    <t>Netflix</t>
  </si>
  <si>
    <t>Monthly sub</t>
  </si>
  <si>
    <t>Spotify</t>
  </si>
  <si>
    <t>Zepto snacks</t>
  </si>
  <si>
    <t>Chips, drinks</t>
  </si>
  <si>
    <t>Auto rickshaw</t>
  </si>
  <si>
    <t>Short ride</t>
  </si>
  <si>
    <t>Electricity Bill</t>
  </si>
  <si>
    <t>Jan bill</t>
  </si>
  <si>
    <t>Drinks with friends</t>
  </si>
  <si>
    <t>Thursday night out</t>
  </si>
  <si>
    <t>Uber late night</t>
  </si>
  <si>
    <t>Cab home</t>
  </si>
  <si>
    <t>Petrol</t>
  </si>
  <si>
    <t>Bike fuel</t>
  </si>
  <si>
    <t>Pizza Hut dinner</t>
  </si>
  <si>
    <t>TGIF</t>
  </si>
  <si>
    <t>Chai + samosa</t>
  </si>
  <si>
    <t>Office snack</t>
  </si>
  <si>
    <t>Shopping - Nike shoes</t>
  </si>
  <si>
    <t>New kicks</t>
  </si>
  <si>
    <t>Zomato dinner</t>
  </si>
  <si>
    <t>Korean food</t>
  </si>
  <si>
    <t>Shopping trip</t>
  </si>
  <si>
    <t>Groceries - DMart</t>
  </si>
  <si>
    <t>Weekly buy</t>
  </si>
  <si>
    <t>Lazy day</t>
  </si>
  <si>
    <t>Ice cream</t>
  </si>
  <si>
    <t>Baskin Robbins</t>
  </si>
  <si>
    <t>Late again</t>
  </si>
  <si>
    <t>Lunch with colleague</t>
  </si>
  <si>
    <t>Treat lunch</t>
  </si>
  <si>
    <t>Internet Bill</t>
  </si>
  <si>
    <t>Broadband</t>
  </si>
  <si>
    <t>Morning chai</t>
  </si>
  <si>
    <t>Butter chicken</t>
  </si>
  <si>
    <t>Water Bill</t>
  </si>
  <si>
    <t>Quarterly</t>
  </si>
  <si>
    <t>Amazon - Gaming mouse</t>
  </si>
  <si>
    <t>Impulse</t>
  </si>
  <si>
    <t>Street food</t>
  </si>
  <si>
    <t>Pani puri</t>
  </si>
  <si>
    <t>SIP - Mutual Fund</t>
  </si>
  <si>
    <t>Skipped last 2 months, partial this month</t>
  </si>
  <si>
    <t>Milk bread eggs</t>
  </si>
  <si>
    <t>Dinner out</t>
  </si>
  <si>
    <t>Midweek treat</t>
  </si>
  <si>
    <t>Commute</t>
  </si>
  <si>
    <t>Drinks + karaoke</t>
  </si>
  <si>
    <t>Friday night</t>
  </si>
  <si>
    <t>Brunch cafe</t>
  </si>
  <si>
    <t>Weekend brunch</t>
  </si>
  <si>
    <t>Flipkart - Earbuds</t>
  </si>
  <si>
    <t>Lost old ones</t>
  </si>
  <si>
    <t>Biryani</t>
  </si>
  <si>
    <t>Restock</t>
  </si>
  <si>
    <t>Cooking gas</t>
  </si>
  <si>
    <t>Cylinder refill</t>
  </si>
  <si>
    <t>Swiggy ice cream</t>
  </si>
  <si>
    <t>Dessert craving</t>
  </si>
  <si>
    <t>Auto to metro</t>
  </si>
  <si>
    <t>Chai + vada pav</t>
  </si>
  <si>
    <t>Lunch</t>
  </si>
  <si>
    <t>Rain day</t>
  </si>
  <si>
    <t>Office order</t>
  </si>
  <si>
    <t>Quick run</t>
  </si>
  <si>
    <t>Haircut + grooming</t>
  </si>
  <si>
    <t>Salon visit</t>
  </si>
  <si>
    <t>Team dinner</t>
  </si>
  <si>
    <t>Office team</t>
  </si>
  <si>
    <t>Uber home</t>
  </si>
  <si>
    <t>Late night</t>
  </si>
  <si>
    <t>Chinese food</t>
  </si>
  <si>
    <t>Concert tickets</t>
  </si>
  <si>
    <t>Weekend plan</t>
  </si>
  <si>
    <t>Dinner out post concert</t>
  </si>
  <si>
    <t>Late dinner</t>
  </si>
  <si>
    <t>Uber</t>
  </si>
  <si>
    <t>Concert venue</t>
  </si>
  <si>
    <t>Laundry</t>
  </si>
  <si>
    <t>Dry cleaning</t>
  </si>
  <si>
    <t>Brunch out</t>
  </si>
  <si>
    <t>Holiday brunch</t>
  </si>
  <si>
    <t>Shopping - jacket</t>
  </si>
  <si>
    <t>Winter sale</t>
  </si>
  <si>
    <t>Metro recharge</t>
  </si>
  <si>
    <t>Top up</t>
  </si>
  <si>
    <t>Chai break</t>
  </si>
  <si>
    <t>Essentials</t>
  </si>
  <si>
    <t>Dal makhani</t>
  </si>
  <si>
    <t>Medicine</t>
  </si>
  <si>
    <t>Cold meds</t>
  </si>
  <si>
    <t>Auto</t>
  </si>
  <si>
    <t>Canteen lunch</t>
  </si>
  <si>
    <t>Office</t>
  </si>
  <si>
    <t>Month end</t>
  </si>
  <si>
    <t>Paan + chai</t>
  </si>
  <si>
    <t>Night walk</t>
  </si>
  <si>
    <t>Monthly pass</t>
  </si>
  <si>
    <t>Late start</t>
  </si>
  <si>
    <t>Snack break</t>
  </si>
  <si>
    <t>Fruits veggies</t>
  </si>
  <si>
    <t>Feb bill</t>
  </si>
  <si>
    <t>Dinner with college friends</t>
  </si>
  <si>
    <t>Reunion dinner</t>
  </si>
  <si>
    <t>Late cab</t>
  </si>
  <si>
    <t>Coffee - Third Wave</t>
  </si>
  <si>
    <t>Friday coffee</t>
  </si>
  <si>
    <t>Pizza night</t>
  </si>
  <si>
    <t>Trying to be better</t>
  </si>
  <si>
    <t>Movie tickets + snacks</t>
  </si>
  <si>
    <t>Shopping - t-shirts</t>
  </si>
  <si>
    <t>Zara sale</t>
  </si>
  <si>
    <t>Mall trip</t>
  </si>
  <si>
    <t>Sunday brunch</t>
  </si>
  <si>
    <t>Chole bhature</t>
  </si>
  <si>
    <t>Books - Amazon</t>
  </si>
  <si>
    <t>Psychology of Money</t>
  </si>
  <si>
    <t>Lunch treat for intern</t>
  </si>
  <si>
    <t>Team bonding</t>
  </si>
  <si>
    <t>Thai food</t>
  </si>
  <si>
    <t>Vitamins</t>
  </si>
  <si>
    <t>Valentine gift - perfume</t>
  </si>
  <si>
    <t>Gift for partner</t>
  </si>
  <si>
    <t>Flowers</t>
  </si>
  <si>
    <t>Roses</t>
  </si>
  <si>
    <t>Haircut</t>
  </si>
  <si>
    <t>Grooming</t>
  </si>
  <si>
    <t>Valentine dinner - fancy restaurant</t>
  </si>
  <si>
    <t>Date night</t>
  </si>
  <si>
    <t>To and from restaurant</t>
  </si>
  <si>
    <t>Dessert</t>
  </si>
  <si>
    <t>Cake stop</t>
  </si>
  <si>
    <t>FD Deposit</t>
  </si>
  <si>
    <t>Quarterly FD - smaller this time</t>
  </si>
  <si>
    <t>Snack</t>
  </si>
  <si>
    <t>Paneer tikka</t>
  </si>
  <si>
    <t>Auto rides</t>
  </si>
  <si>
    <t>Short trips</t>
  </si>
  <si>
    <t>Team treat</t>
  </si>
  <si>
    <t>Project ship</t>
  </si>
  <si>
    <t>Paan</t>
  </si>
  <si>
    <t>After dinner</t>
  </si>
  <si>
    <t>Friday treat</t>
  </si>
  <si>
    <t>Cafe with friends</t>
  </si>
  <si>
    <t>Saturday chill</t>
  </si>
  <si>
    <t>Amazon - Phone charger</t>
  </si>
  <si>
    <t>Old one broke</t>
  </si>
  <si>
    <t>Coffee Starbucks</t>
  </si>
  <si>
    <t>Monday coffee</t>
  </si>
  <si>
    <t>Quick bite</t>
  </si>
  <si>
    <t>Late meeting</t>
  </si>
  <si>
    <t>Milk curd bread</t>
  </si>
  <si>
    <t>Drinks with old friends</t>
  </si>
  <si>
    <t>Thursday night</t>
  </si>
  <si>
    <t>Friday order</t>
  </si>
  <si>
    <t>Parking</t>
  </si>
  <si>
    <t>Office parking</t>
  </si>
  <si>
    <t>Groceries</t>
  </si>
  <si>
    <t>Month end stock</t>
  </si>
  <si>
    <t>Swiggy dessert</t>
  </si>
  <si>
    <t>Cheesecake</t>
  </si>
  <si>
    <t>Monthly grocery stock</t>
  </si>
  <si>
    <t>Office break</t>
  </si>
  <si>
    <t>Late for meeting</t>
  </si>
  <si>
    <t>Chips, biscuits, juice</t>
  </si>
  <si>
    <t>Netflix Subscription</t>
  </si>
  <si>
    <t>Metro to office</t>
  </si>
  <si>
    <t>Dinner with friends</t>
  </si>
  <si>
    <t>Birthday dinner for Rahul</t>
  </si>
  <si>
    <t>Uber back home</t>
  </si>
  <si>
    <t>Late night cab</t>
  </si>
  <si>
    <t>Tea + biscuits</t>
  </si>
  <si>
    <t>Evening snack</t>
  </si>
  <si>
    <t>Fruits and veggies</t>
  </si>
  <si>
    <t>Monthly SIP</t>
  </si>
  <si>
    <t>Movie tickets</t>
  </si>
  <si>
    <t>Popcorn + drinks</t>
  </si>
  <si>
    <t>At the theater</t>
  </si>
  <si>
    <t>Post movie dinner</t>
  </si>
  <si>
    <t>To and from mall</t>
  </si>
  <si>
    <t>March bill</t>
  </si>
  <si>
    <t>Weekly bulk buy</t>
  </si>
  <si>
    <t>Monday motivation</t>
  </si>
  <si>
    <t>Rain day cab</t>
  </si>
  <si>
    <t>Online Course - Udemy</t>
  </si>
  <si>
    <t>Python course</t>
  </si>
  <si>
    <t>Team lunch</t>
  </si>
  <si>
    <t>Amazon - Phone case</t>
  </si>
  <si>
    <t>New case</t>
  </si>
  <si>
    <t>Milk, bread, eggs</t>
  </si>
  <si>
    <t>Cold medicine</t>
  </si>
  <si>
    <t>Friday night out</t>
  </si>
  <si>
    <t>Momos + golgappa</t>
  </si>
  <si>
    <t>Gift for mom</t>
  </si>
  <si>
    <t>Birthday gift</t>
  </si>
  <si>
    <t>Cake</t>
  </si>
  <si>
    <t>Birthday cake</t>
  </si>
  <si>
    <t>Family dinner out</t>
  </si>
  <si>
    <t>Mom birthday dinner</t>
  </si>
  <si>
    <t>To restaurant and back</t>
  </si>
  <si>
    <t>Quarterly FD</t>
  </si>
  <si>
    <t>Weekly restock</t>
  </si>
  <si>
    <t>Lunch snack</t>
  </si>
  <si>
    <t>Swiggy orders</t>
  </si>
  <si>
    <t>Lunch delivery</t>
  </si>
  <si>
    <t>Books - Flipkart</t>
  </si>
  <si>
    <t>Atomic Habits</t>
  </si>
  <si>
    <t>Monthly trim</t>
  </si>
  <si>
    <t>Amazon - Headphones</t>
  </si>
  <si>
    <t>Replacement buds</t>
  </si>
  <si>
    <t>Lunch - office canteen</t>
  </si>
  <si>
    <t>Thali</t>
  </si>
  <si>
    <t>Mall parking</t>
  </si>
  <si>
    <t>Charity donation</t>
  </si>
  <si>
    <t>Monthly donation</t>
  </si>
  <si>
    <t>Shopping - clothes</t>
  </si>
  <si>
    <t>New shirt + jeans</t>
  </si>
  <si>
    <t>Third Wave Coffee</t>
  </si>
  <si>
    <t>Market trip</t>
  </si>
  <si>
    <t>PPF Contribution</t>
  </si>
  <si>
    <t>Monthly PPF</t>
  </si>
  <si>
    <t>Lazy Sunday dinner</t>
  </si>
  <si>
    <t>Chai + sandwich</t>
  </si>
  <si>
    <t>Broadband monthly</t>
  </si>
  <si>
    <t>Zepto groceries</t>
  </si>
  <si>
    <t>Milk, curd, bread</t>
  </si>
  <si>
    <t>Auto + metro</t>
  </si>
  <si>
    <t>Project completion</t>
  </si>
  <si>
    <t>Late evening</t>
  </si>
  <si>
    <t>Korean BBQ</t>
  </si>
  <si>
    <t>Theobroma</t>
  </si>
  <si>
    <t>Friday night cab</t>
  </si>
  <si>
    <t>Monthly restock big</t>
  </si>
  <si>
    <t>Salon</t>
  </si>
  <si>
    <t>Facial + cleanup</t>
  </si>
  <si>
    <t>Weekend brunch order</t>
  </si>
  <si>
    <t>Bike top up</t>
  </si>
  <si>
    <t>Quick needs</t>
  </si>
  <si>
    <t>Street food outing</t>
  </si>
  <si>
    <t>Chaat + kulfi</t>
  </si>
  <si>
    <t>Medicine refill</t>
  </si>
  <si>
    <t>Monthly meds</t>
  </si>
  <si>
    <t>Electricity deposit</t>
  </si>
  <si>
    <t>Security deposit</t>
  </si>
  <si>
    <t>Month end treat</t>
  </si>
  <si>
    <t>Quick dinner</t>
  </si>
  <si>
    <t>Monthly SIP on time</t>
  </si>
  <si>
    <t>Saturday hangout</t>
  </si>
  <si>
    <t>April bill</t>
  </si>
  <si>
    <t>Monday rush</t>
  </si>
  <si>
    <t>Break time</t>
  </si>
  <si>
    <t>Dinner with colleague</t>
  </si>
  <si>
    <t>Farewell dinner</t>
  </si>
  <si>
    <t>Friday dinner</t>
  </si>
  <si>
    <t>Movie + snacks</t>
  </si>
  <si>
    <t>Post movie food</t>
  </si>
  <si>
    <t>Mode</t>
  </si>
  <si>
    <t>Quarter</t>
  </si>
  <si>
    <t>Week Start</t>
  </si>
  <si>
    <t>Week End</t>
  </si>
  <si>
    <t>Spend</t>
  </si>
  <si>
    <t>Limit</t>
  </si>
  <si>
    <t>Ratio</t>
  </si>
  <si>
    <t>Q1</t>
  </si>
  <si>
    <t>Start Month</t>
  </si>
  <si>
    <t>End Month</t>
  </si>
  <si>
    <t>All</t>
  </si>
  <si>
    <t>Month</t>
  </si>
  <si>
    <t>Score</t>
  </si>
  <si>
    <t>Apr</t>
  </si>
  <si>
    <t>Spent</t>
  </si>
  <si>
    <t>Year: 2026</t>
  </si>
  <si>
    <t>Last updated: 23:01</t>
  </si>
  <si>
    <t>Jan</t>
  </si>
  <si>
    <t>Feb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</si>
  <si>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</si>
  <si>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</si>
  <si>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</si>
  <si>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</si>
  <si>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</si>
  <si>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</si>
  <si>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</si>
  <si>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</si>
  <si>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</si>
  <si>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Mon</t>
  </si>
  <si>
    <t>Tue</t>
  </si>
  <si>
    <t>Wed</t>
  </si>
  <si>
    <t>Thu</t>
  </si>
  <si>
    <t>Fri</t>
  </si>
  <si>
    <t>Sat</t>
  </si>
  <si>
    <t>Sun</t>
  </si>
  <si>
    <t>Selected Date Range</t>
  </si>
  <si>
    <t>Budget</t>
  </si>
  <si>
    <t>Actual</t>
  </si>
  <si>
    <t>Difference</t>
  </si>
  <si>
    <t>Actual Spend</t>
  </si>
  <si>
    <t>Total</t>
  </si>
  <si>
    <t>Amount Left</t>
  </si>
  <si>
    <t>Percentage Left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</si>
</sst>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d, dd mmm yyyy"/>
    <numFmt numFmtId="165" formatCode="ddd, d mmm yyyy"/>
    <numFmt numFmtId="166" formatCode="dd mmm"/>
    <numFmt numFmtId="167" formatCode="0&quot;%&quot;"/>
    <numFmt numFmtId="168" formatCode="d mmm"/>
    <numFmt numFmtId="169" formatCode="dd mmmm"/>
    <numFmt numFmtId="170" formatCode="d mmmm"/>
    <numFmt numFmtId="171" formatCode="ddd, d mmm"/>
    <numFmt numFmtId="172" formatCode="d&quot;-&quot;mmm"/>
  </numFmts>
  <fonts count="15">
    <font>
      <sz val="10.0"/>
      <color rgb="FF000000"/>
      <name val="Arial"/>
      <scheme val="minor"/>
    </font>
    <font>
      <b/>
      <color theme="1"/>
      <name val="Google Sans"/>
    </font>
    <font>
      <color theme="1"/>
      <name val="Google Sans"/>
    </font>
    <font>
      <color rgb="FF0D0D0D"/>
      <name val="Google Sans"/>
    </font>
    <font>
      <color rgb="FF434343"/>
      <name val="Google Sans"/>
    </font>
    <font>
      <color rgb="FFFFCFC9"/>
      <name val="Google Sans"/>
    </font>
    <font>
      <color rgb="FF473821"/>
      <name val="Google Sans"/>
    </font>
    <font>
      <color rgb="FF11734B"/>
      <name val="Google Sans"/>
    </font>
    <font>
      <color rgb="FF0A53A8"/>
      <name val="Google Sans"/>
    </font>
    <font>
      <color rgb="FF753800"/>
      <name val="Google Sans"/>
    </font>
    <font>
      <color rgb="FFC6DBE1"/>
      <name val="Google Sans"/>
    </font>
    <font>
      <sz val="17.0"/>
      <color theme="1"/>
      <name val="Google Sans"/>
    </font>
    <font>
      <b/>
      <sz val="14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  <scheme val="minor"/>
    </font>
  </fonts>
  <fills count="8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4C7C3"/>
        <bgColor rgb="FFF4C7C3"/>
      </patternFill>
    </fill>
    <fill>
      <patternFill patternType="solid">
        <fgColor rgb="FFEEEEEE"/>
        <bgColor rgb="FFEEEEEE"/>
      </patternFill>
    </fill>
    <fill>
      <patternFill patternType="solid">
        <fgColor rgb="FFB7E1CD"/>
        <bgColor rgb="FFB7E1CD"/>
      </patternFill>
    </fill>
    <fill>
      <patternFill patternType="solid">
        <fgColor rgb="FFFCC935"/>
        <bgColor rgb="FFFCC935"/>
      </patternFill>
    </fill>
    <fill>
      <patternFill patternType="solid">
        <fgColor rgb="FFFEE291"/>
        <bgColor rgb="FFFEE291"/>
      </patternFill>
    </fill>
    <fill>
      <patternFill patternType="solid">
        <fgColor rgb="FFFAB706"/>
        <bgColor rgb="FFFAB706"/>
      </patternFill>
    </fill>
    <fill>
      <patternFill patternType="solid">
        <fgColor rgb="FFFDD560"/>
        <bgColor rgb="FFFDD560"/>
      </patternFill>
    </fill>
    <fill>
      <patternFill patternType="solid">
        <fgColor rgb="FFFFEBB4"/>
        <bgColor rgb="FFFFEBB4"/>
      </patternFill>
    </fill>
    <fill>
      <patternFill patternType="solid">
        <fgColor rgb="FFFFEDBA"/>
        <bgColor rgb="FFFFEDBA"/>
      </patternFill>
    </fill>
    <fill>
      <patternFill patternType="solid">
        <fgColor rgb="FFFEE59A"/>
        <bgColor rgb="FFFEE59A"/>
      </patternFill>
    </fill>
    <fill>
      <patternFill patternType="solid">
        <fgColor rgb="FFFDDC79"/>
        <bgColor rgb="FFFDDC79"/>
      </patternFill>
    </fill>
    <fill>
      <patternFill patternType="solid">
        <fgColor rgb="FFFEE9AC"/>
        <bgColor rgb="FFFEE9AC"/>
      </patternFill>
    </fill>
    <fill>
      <patternFill patternType="solid">
        <fgColor rgb="FFFEE7A4"/>
        <bgColor rgb="FFFEE7A4"/>
      </patternFill>
    </fill>
    <fill>
      <patternFill patternType="solid">
        <fgColor rgb="FFFFEDB8"/>
        <bgColor rgb="FFFFEDB8"/>
      </patternFill>
    </fill>
    <fill>
      <patternFill patternType="solid">
        <fgColor rgb="FFFCC629"/>
        <bgColor rgb="FFFCC629"/>
      </patternFill>
    </fill>
    <fill>
      <patternFill patternType="solid">
        <fgColor rgb="FFFBBE0D"/>
        <bgColor rgb="FFFBBE0D"/>
      </patternFill>
    </fill>
    <fill>
      <patternFill patternType="solid">
        <fgColor rgb="FFFDD255"/>
        <bgColor rgb="FFFDD255"/>
      </patternFill>
    </fill>
    <fill>
      <patternFill patternType="solid">
        <fgColor rgb="FFFEE8A5"/>
        <bgColor rgb="FFFEE8A5"/>
      </patternFill>
    </fill>
    <fill>
      <patternFill patternType="solid">
        <fgColor rgb="FFFFEEBE"/>
        <bgColor rgb="FFFFEEBE"/>
      </patternFill>
    </fill>
    <fill>
      <patternFill patternType="solid">
        <fgColor rgb="FFFBC118"/>
        <bgColor rgb="FFFBC118"/>
      </patternFill>
    </fill>
    <fill>
      <patternFill patternType="solid">
        <fgColor rgb="FFFCCE45"/>
        <bgColor rgb="FFFCCE45"/>
      </patternFill>
    </fill>
    <fill>
      <patternFill patternType="solid">
        <fgColor rgb="FFFEE7A3"/>
        <bgColor rgb="FFFEE7A3"/>
      </patternFill>
    </fill>
    <fill>
      <patternFill patternType="solid">
        <fgColor rgb="FFFEE9AB"/>
        <bgColor rgb="FFFEE9AB"/>
      </patternFill>
    </fill>
    <fill>
      <patternFill patternType="solid">
        <fgColor rgb="FFFBBB04"/>
        <bgColor rgb="FFFBBB04"/>
      </patternFill>
    </fill>
    <fill>
      <patternFill patternType="solid">
        <fgColor rgb="FFFEE088"/>
        <bgColor rgb="FFFEE088"/>
      </patternFill>
    </fill>
    <fill>
      <patternFill patternType="solid">
        <fgColor rgb="FFFDDC7B"/>
        <bgColor rgb="FFFDDC7B"/>
      </patternFill>
    </fill>
    <fill>
      <patternFill patternType="solid">
        <fgColor rgb="FFFCCB3D"/>
        <bgColor rgb="FFFCCB3D"/>
      </patternFill>
    </fill>
    <fill>
      <patternFill patternType="solid">
        <fgColor rgb="FFFDD970"/>
        <bgColor rgb="FFFDD970"/>
      </patternFill>
    </fill>
    <fill>
      <patternFill patternType="solid">
        <fgColor rgb="FFFCCF4C"/>
        <bgColor rgb="FFFCCF4C"/>
      </patternFill>
    </fill>
    <fill>
      <patternFill patternType="solid">
        <fgColor rgb="FFFEDF87"/>
        <bgColor rgb="FFFEDF87"/>
      </patternFill>
    </fill>
    <fill>
      <patternFill patternType="solid">
        <fgColor rgb="FFFDD150"/>
        <bgColor rgb="FFFDD150"/>
      </patternFill>
    </fill>
    <fill>
      <patternFill patternType="solid">
        <fgColor rgb="FFFDDD7C"/>
        <bgColor rgb="FFFDDD7C"/>
      </patternFill>
    </fill>
    <fill>
      <patternFill patternType="solid">
        <fgColor rgb="FFFEE59E"/>
        <bgColor rgb="FFFEE59E"/>
      </patternFill>
    </fill>
    <fill>
      <patternFill patternType="solid">
        <fgColor rgb="FFFEE08A"/>
        <bgColor rgb="FFFEE08A"/>
      </patternFill>
    </fill>
    <fill>
      <patternFill patternType="solid">
        <fgColor rgb="FFFEE08B"/>
        <bgColor rgb="FFFEE08B"/>
      </patternFill>
    </fill>
    <fill>
      <patternFill patternType="solid">
        <fgColor rgb="FFFEE8A8"/>
        <bgColor rgb="FFFEE8A8"/>
      </patternFill>
    </fill>
    <fill>
      <patternFill patternType="solid">
        <fgColor rgb="FFFFECB5"/>
        <bgColor rgb="FFFFECB5"/>
      </patternFill>
    </fill>
    <fill>
      <patternFill patternType="solid">
        <fgColor rgb="FFFEEAAD"/>
        <bgColor rgb="FFFEEAAD"/>
      </patternFill>
    </fill>
    <fill>
      <patternFill patternType="solid">
        <fgColor rgb="FFFEE293"/>
        <bgColor rgb="FFFEE293"/>
      </patternFill>
    </fill>
    <fill>
      <patternFill patternType="solid">
        <fgColor rgb="FFFFEFC1"/>
        <bgColor rgb="FFFFEFC1"/>
      </patternFill>
    </fill>
    <fill>
      <patternFill patternType="solid">
        <fgColor rgb="FFEA4634"/>
        <bgColor rgb="FFEA4634"/>
      </patternFill>
    </fill>
    <fill>
      <patternFill patternType="solid">
        <fgColor rgb="FFFCCD44"/>
        <bgColor rgb="FFFCCD44"/>
      </patternFill>
    </fill>
    <fill>
      <patternFill patternType="solid">
        <fgColor rgb="FFFBC012"/>
        <bgColor rgb="FFFBC012"/>
      </patternFill>
    </fill>
    <fill>
      <patternFill patternType="solid">
        <fgColor rgb="FFF9AE0A"/>
        <bgColor rgb="FFF9AE0A"/>
      </patternFill>
    </fill>
    <fill>
      <patternFill patternType="solid">
        <fgColor rgb="FFFAB407"/>
        <bgColor rgb="FFFAB407"/>
      </patternFill>
    </fill>
    <fill>
      <patternFill patternType="solid">
        <fgColor rgb="FFFEE290"/>
        <bgColor rgb="FFFEE290"/>
      </patternFill>
    </fill>
    <fill>
      <patternFill patternType="solid">
        <fgColor rgb="FFFCC82F"/>
        <bgColor rgb="FFFCC82F"/>
      </patternFill>
    </fill>
    <fill>
      <patternFill patternType="solid">
        <fgColor rgb="FFFCC936"/>
        <bgColor rgb="FFFCC936"/>
      </patternFill>
    </fill>
    <fill>
      <patternFill patternType="solid">
        <fgColor rgb="FFFDD665"/>
        <bgColor rgb="FFFDD665"/>
      </patternFill>
    </fill>
    <fill>
      <patternFill patternType="solid">
        <fgColor rgb="FFFCC525"/>
        <bgColor rgb="FFFCC525"/>
      </patternFill>
    </fill>
    <fill>
      <patternFill patternType="solid">
        <fgColor rgb="FFFDD767"/>
        <bgColor rgb="FFFDD767"/>
      </patternFill>
    </fill>
    <fill>
      <patternFill patternType="solid">
        <fgColor rgb="FFFEE8A9"/>
        <bgColor rgb="FFFEE8A9"/>
      </patternFill>
    </fill>
    <fill>
      <patternFill patternType="solid">
        <fgColor rgb="FFEA4534"/>
        <bgColor rgb="FFEA4534"/>
      </patternFill>
    </fill>
    <fill>
      <patternFill patternType="solid">
        <fgColor rgb="FFFCC831"/>
        <bgColor rgb="FFFCC831"/>
      </patternFill>
    </fill>
    <fill>
      <patternFill patternType="solid">
        <fgColor rgb="FFFCC524"/>
        <bgColor rgb="FFFCC524"/>
      </patternFill>
    </fill>
    <fill>
      <patternFill patternType="solid">
        <fgColor rgb="FFFDD664"/>
        <bgColor rgb="FFFDD664"/>
      </patternFill>
    </fill>
    <fill>
      <patternFill patternType="solid">
        <fgColor rgb="FFFFECB7"/>
        <bgColor rgb="FFFFECB7"/>
      </patternFill>
    </fill>
    <fill>
      <patternFill patternType="solid">
        <fgColor rgb="FFFCC72C"/>
        <bgColor rgb="FFFCC72C"/>
      </patternFill>
    </fill>
    <fill>
      <patternFill patternType="solid">
        <fgColor rgb="FFF9B108"/>
        <bgColor rgb="FFF9B108"/>
      </patternFill>
    </fill>
    <fill>
      <patternFill patternType="solid">
        <fgColor rgb="FFFBBC05"/>
        <bgColor rgb="FFFBBC05"/>
      </patternFill>
    </fill>
    <fill>
      <patternFill patternType="solid">
        <fgColor rgb="FFFBBF10"/>
        <bgColor rgb="FFFBBF10"/>
      </patternFill>
    </fill>
    <fill>
      <patternFill patternType="solid">
        <fgColor rgb="FFFCC31D"/>
        <bgColor rgb="FFFCC31D"/>
      </patternFill>
    </fill>
    <fill>
      <patternFill patternType="solid">
        <fgColor rgb="FFFBB905"/>
        <bgColor rgb="FFFBB905"/>
      </patternFill>
    </fill>
    <fill>
      <patternFill patternType="solid">
        <fgColor rgb="FFFDD769"/>
        <bgColor rgb="FFFDD769"/>
      </patternFill>
    </fill>
    <fill>
      <patternFill patternType="solid">
        <fgColor rgb="FFF69A12"/>
        <bgColor rgb="FFF69A12"/>
      </patternFill>
    </fill>
    <fill>
      <patternFill patternType="solid">
        <fgColor rgb="FFF69812"/>
        <bgColor rgb="FFF69812"/>
      </patternFill>
    </fill>
    <fill>
      <patternFill patternType="solid">
        <fgColor rgb="FFFEEBB0"/>
        <bgColor rgb="FFFEEBB0"/>
      </patternFill>
    </fill>
    <fill>
      <patternFill patternType="solid">
        <fgColor rgb="FFFAB507"/>
        <bgColor rgb="FFFAB507"/>
      </patternFill>
    </fill>
    <fill>
      <patternFill patternType="solid">
        <fgColor rgb="FFF8A50D"/>
        <bgColor rgb="FFF8A50D"/>
      </patternFill>
    </fill>
    <fill>
      <patternFill patternType="solid">
        <fgColor rgb="FFFDDA74"/>
        <bgColor rgb="FFFDDA74"/>
      </patternFill>
    </fill>
    <fill>
      <patternFill patternType="solid">
        <fgColor rgb="FFF9AF09"/>
        <bgColor rgb="FFF9AF09"/>
      </patternFill>
    </fill>
    <fill>
      <patternFill patternType="solid">
        <fgColor rgb="FFF9B109"/>
        <bgColor rgb="FFF9B109"/>
      </patternFill>
    </fill>
    <fill>
      <patternFill patternType="solid">
        <fgColor rgb="FFFAB806"/>
        <bgColor rgb="FFFAB806"/>
      </patternFill>
    </fill>
    <fill>
      <patternFill patternType="solid">
        <fgColor rgb="FFFAB307"/>
        <bgColor rgb="FFFAB307"/>
      </patternFill>
    </fill>
    <fill>
      <patternFill patternType="solid">
        <fgColor rgb="FFEB4933"/>
        <bgColor rgb="FFEB4933"/>
      </patternFill>
    </fill>
    <fill>
      <patternFill patternType="solid">
        <fgColor rgb="FFFDD358"/>
        <bgColor rgb="FFFDD358"/>
      </patternFill>
    </fill>
    <fill>
      <patternFill patternType="solid">
        <fgColor rgb="FFFBBE0B"/>
        <bgColor rgb="FFFBBE0B"/>
      </patternFill>
    </fill>
    <fill>
      <patternFill patternType="solid">
        <fgColor rgb="FFEA4335"/>
        <bgColor rgb="FFEA4335"/>
      </patternFill>
    </fill>
    <fill>
      <patternFill patternType="solid">
        <fgColor rgb="FFFCCB3A"/>
        <bgColor rgb="FFFCCB3A"/>
      </patternFill>
    </fill>
    <fill>
      <patternFill patternType="solid">
        <fgColor rgb="FFFEDE82"/>
        <bgColor rgb="FFFEDE82"/>
      </patternFill>
    </fill>
    <fill>
      <patternFill patternType="solid">
        <fgColor rgb="FFEA9999"/>
        <bgColor rgb="FFEA9999"/>
      </patternFill>
    </fill>
  </fills>
  <borders count="10">
    <border/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2" fontId="2" numFmtId="3" xfId="0" applyAlignment="1" applyFill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3" fontId="2" numFmtId="3" xfId="0" applyAlignment="1" applyFill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4" fontId="3" numFmtId="0" xfId="0" applyAlignment="1" applyFill="1" applyFont="1">
      <alignment shrinkToFit="0" vertical="bottom" wrapText="1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2" fontId="2" numFmtId="0" xfId="0" applyAlignment="1" applyFont="1">
      <alignment horizontal="right" readingOrder="0" vertical="bottom"/>
    </xf>
    <xf borderId="0" fillId="2" fontId="1" numFmtId="0" xfId="0" applyAlignment="1" applyFont="1">
      <alignment horizontal="center" readingOrder="0"/>
    </xf>
    <xf borderId="0" fillId="0" fontId="1" numFmtId="0" xfId="0" applyFont="1"/>
    <xf borderId="1" fillId="5" fontId="4" numFmtId="164" xfId="0" applyAlignment="1" applyBorder="1" applyFill="1" applyFont="1" applyNumberFormat="1">
      <alignment horizontal="right" readingOrder="0" shrinkToFit="0" wrapText="0"/>
    </xf>
    <xf borderId="2" fillId="4" fontId="4" numFmtId="0" xfId="0" applyAlignment="1" applyBorder="1" applyFont="1">
      <alignment readingOrder="0" shrinkToFit="0" wrapText="0"/>
    </xf>
    <xf borderId="2" fillId="4" fontId="5" numFmtId="0" xfId="0" applyAlignment="1" applyBorder="1" applyFont="1">
      <alignment readingOrder="0" shrinkToFit="0" wrapText="0"/>
    </xf>
    <xf borderId="2" fillId="4" fontId="4" numFmtId="0" xfId="0" applyAlignment="1" applyBorder="1" applyFont="1">
      <alignment horizontal="right" readingOrder="0" shrinkToFit="0" wrapText="0"/>
    </xf>
    <xf borderId="2" fillId="4" fontId="6" numFmtId="0" xfId="0" applyAlignment="1" applyBorder="1" applyFont="1">
      <alignment readingOrder="0" shrinkToFit="0" wrapText="0"/>
    </xf>
    <xf borderId="3" fillId="4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readingOrder="0" shrinkToFit="0" wrapText="0"/>
    </xf>
    <xf borderId="4" fillId="5" fontId="7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horizontal="right" readingOrder="0" shrinkToFit="0" wrapText="0"/>
    </xf>
    <xf borderId="4" fillId="5" fontId="8" numFmtId="0" xfId="0" applyAlignment="1" applyBorder="1" applyFont="1">
      <alignment readingOrder="0" shrinkToFit="0" wrapText="0"/>
    </xf>
    <xf borderId="4" fillId="5" fontId="9" numFmtId="0" xfId="0" applyAlignment="1" applyBorder="1" applyFont="1">
      <alignment readingOrder="0" shrinkToFit="0" wrapText="0"/>
    </xf>
    <xf borderId="5" fillId="5" fontId="4" numFmtId="0" xfId="0" applyAlignment="1" applyBorder="1" applyFont="1">
      <alignment readingOrder="0" shrinkToFit="0" wrapText="0"/>
    </xf>
    <xf borderId="6" fillId="4" fontId="4" numFmtId="164" xfId="0" applyAlignment="1" applyBorder="1" applyFont="1" applyNumberFormat="1">
      <alignment horizontal="right" readingOrder="0" shrinkToFit="0" wrapText="0"/>
    </xf>
    <xf borderId="2" fillId="4" fontId="7" numFmtId="0" xfId="0" applyAlignment="1" applyBorder="1" applyFont="1">
      <alignment readingOrder="0" shrinkToFit="0" wrapText="0"/>
    </xf>
    <xf borderId="4" fillId="5" fontId="6" numFmtId="0" xfId="0" applyAlignment="1" applyBorder="1" applyFont="1">
      <alignment readingOrder="0" shrinkToFit="0" wrapText="0"/>
    </xf>
    <xf borderId="2" fillId="4" fontId="8" numFmtId="0" xfId="0" applyAlignment="1" applyBorder="1" applyFont="1">
      <alignment readingOrder="0" shrinkToFit="0" wrapText="0"/>
    </xf>
    <xf borderId="4" fillId="5" fontId="5" numFmtId="0" xfId="0" applyAlignment="1" applyBorder="1" applyFont="1">
      <alignment readingOrder="0" shrinkToFit="0" wrapText="0"/>
    </xf>
    <xf borderId="2" fillId="4" fontId="9" numFmtId="0" xfId="0" applyAlignment="1" applyBorder="1" applyFont="1">
      <alignment readingOrder="0" shrinkToFit="0" wrapText="0"/>
    </xf>
    <xf borderId="5" fillId="5" fontId="2" numFmtId="0" xfId="0" applyAlignment="1" applyBorder="1" applyFont="1">
      <alignment readingOrder="0"/>
    </xf>
    <xf borderId="4" fillId="5" fontId="4" numFmtId="4" xfId="0" applyAlignment="1" applyBorder="1" applyFont="1" applyNumberFormat="1">
      <alignment horizontal="right" readingOrder="0" shrinkToFit="0" wrapText="0"/>
    </xf>
    <xf borderId="2" fillId="4" fontId="4" numFmtId="4" xfId="0" applyAlignment="1" applyBorder="1" applyFont="1" applyNumberFormat="1">
      <alignment horizontal="right" readingOrder="0" shrinkToFit="0" wrapText="0"/>
    </xf>
    <xf borderId="7" fillId="4" fontId="4" numFmtId="164" xfId="0" applyAlignment="1" applyBorder="1" applyFont="1" applyNumberFormat="1">
      <alignment horizontal="right" readingOrder="0" shrinkToFit="0" wrapText="0"/>
    </xf>
    <xf borderId="8" fillId="4" fontId="4" numFmtId="0" xfId="0" applyAlignment="1" applyBorder="1" applyFont="1">
      <alignment readingOrder="0" shrinkToFit="0" wrapText="0"/>
    </xf>
    <xf borderId="8" fillId="4" fontId="8" numFmtId="0" xfId="0" applyAlignment="1" applyBorder="1" applyFont="1">
      <alignment readingOrder="0" shrinkToFit="0" wrapText="0"/>
    </xf>
    <xf borderId="8" fillId="4" fontId="4" numFmtId="0" xfId="0" applyAlignment="1" applyBorder="1" applyFont="1">
      <alignment horizontal="right" readingOrder="0" shrinkToFit="0" wrapText="0"/>
    </xf>
    <xf borderId="8" fillId="4" fontId="10" numFmtId="0" xfId="0" applyAlignment="1" applyBorder="1" applyFont="1">
      <alignment readingOrder="0" shrinkToFit="0" wrapText="0"/>
    </xf>
    <xf borderId="8" fillId="4" fontId="7" numFmtId="0" xfId="0" applyAlignment="1" applyBorder="1" applyFont="1">
      <alignment readingOrder="0" shrinkToFit="0" wrapText="0"/>
    </xf>
    <xf borderId="9" fillId="4" fontId="4" numFmtId="0" xfId="0" applyAlignment="1" applyBorder="1" applyFont="1">
      <alignment readingOrder="0" shrinkToFit="0" wrapText="0"/>
    </xf>
    <xf borderId="0" fillId="4" fontId="4" numFmtId="165" xfId="0" applyAlignment="1" applyFont="1" applyNumberFormat="1">
      <alignment horizontal="right" readingOrder="0" shrinkToFit="0" wrapText="0"/>
    </xf>
    <xf borderId="0" fillId="4" fontId="4" numFmtId="0" xfId="0" applyAlignment="1" applyFont="1">
      <alignment readingOrder="0" shrinkToFit="0" wrapText="0"/>
    </xf>
    <xf borderId="0" fillId="4" fontId="8" numFmtId="0" xfId="0" applyAlignment="1" applyFont="1">
      <alignment readingOrder="0" shrinkToFit="0" wrapText="0"/>
    </xf>
    <xf borderId="0" fillId="4" fontId="4" numFmtId="4" xfId="0" applyAlignment="1" applyFont="1" applyNumberFormat="1">
      <alignment horizontal="right" readingOrder="0" shrinkToFit="0" wrapText="0"/>
    </xf>
    <xf borderId="0" fillId="4" fontId="10" numFmtId="0" xfId="0" applyAlignment="1" applyFont="1">
      <alignment readingOrder="0" shrinkToFit="0" wrapText="0"/>
    </xf>
    <xf borderId="0" fillId="4" fontId="7" numFmtId="0" xfId="0" applyAlignment="1" applyFont="1">
      <alignment readingOrder="0" shrinkToFit="0" wrapText="0"/>
    </xf>
    <xf borderId="0" fillId="0" fontId="2" numFmtId="165" xfId="0" applyFont="1" applyNumberFormat="1"/>
    <xf borderId="0" fillId="0" fontId="2" numFmtId="4" xfId="0" applyFont="1" applyNumberFormat="1"/>
    <xf borderId="0" fillId="0" fontId="2" numFmtId="0" xfId="0" applyAlignment="1" applyFont="1">
      <alignment horizontal="right" readingOrder="0"/>
    </xf>
    <xf borderId="0" fillId="4" fontId="2" numFmtId="0" xfId="0" applyAlignment="1" applyFont="1">
      <alignment horizontal="right"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6" fontId="2" numFmtId="167" xfId="0" applyAlignment="1" applyFill="1" applyFont="1" applyNumberFormat="1">
      <alignment readingOrder="0"/>
    </xf>
    <xf borderId="0" fillId="7" fontId="2" numFmtId="0" xfId="0" applyAlignment="1" applyFill="1" applyFont="1">
      <alignment horizontal="right" readingOrder="0"/>
    </xf>
    <xf borderId="0" fillId="0" fontId="2" numFmtId="168" xfId="0" applyAlignment="1" applyFont="1" applyNumberFormat="1">
      <alignment readingOrder="0"/>
    </xf>
    <xf borderId="0" fillId="8" fontId="2" numFmtId="167" xfId="0" applyAlignment="1" applyFill="1" applyFont="1" applyNumberFormat="1">
      <alignment readingOrder="0"/>
    </xf>
    <xf borderId="0" fillId="0" fontId="2" numFmtId="0" xfId="0" applyAlignment="1" applyFont="1">
      <alignment horizontal="right"/>
    </xf>
    <xf borderId="0" fillId="2" fontId="2" numFmtId="167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2" numFmtId="171" xfId="0" applyAlignment="1" applyFont="1" applyNumberFormat="1">
      <alignment readingOrder="0"/>
    </xf>
    <xf borderId="0" fillId="0" fontId="2" numFmtId="2" xfId="0" applyFont="1" applyNumberFormat="1"/>
    <xf borderId="0" fillId="0" fontId="2" numFmtId="172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14" numFmtId="0" xfId="0" applyAlignment="1" applyFont="1">
      <alignment readingOrder="0"/>
    </xf>
    <xf borderId="0" fillId="9" fontId="14" numFmtId="0" xfId="0" applyFill="1" applyFont="1"/>
    <xf borderId="0" fillId="10" fontId="14" numFmtId="0" xfId="0" applyFill="1" applyFont="1"/>
    <xf borderId="0" fillId="2" fontId="14" numFmtId="0" xfId="0" applyFont="1"/>
    <xf borderId="0" fillId="11" fontId="14" numFmtId="0" xfId="0" applyFill="1" applyFont="1"/>
    <xf borderId="0" fillId="12" fontId="14" numFmtId="0" xfId="0" applyFill="1" applyFont="1"/>
    <xf borderId="0" fillId="13" fontId="14" numFmtId="0" xfId="0" applyFill="1" applyFont="1"/>
    <xf borderId="0" fillId="14" fontId="14" numFmtId="0" xfId="0" applyFill="1" applyFont="1"/>
    <xf borderId="0" fillId="15" fontId="14" numFmtId="0" xfId="0" applyFill="1" applyFont="1"/>
    <xf borderId="0" fillId="16" fontId="14" numFmtId="0" xfId="0" applyFill="1" applyFont="1"/>
    <xf borderId="0" fillId="17" fontId="14" numFmtId="0" xfId="0" applyFill="1" applyFont="1"/>
    <xf borderId="0" fillId="18" fontId="14" numFmtId="0" xfId="0" applyFill="1" applyFont="1"/>
    <xf borderId="0" fillId="19" fontId="14" numFmtId="0" xfId="0" applyFill="1" applyFont="1"/>
    <xf borderId="0" fillId="20" fontId="14" numFmtId="0" xfId="0" applyFill="1" applyFont="1"/>
    <xf borderId="0" fillId="8" fontId="14" numFmtId="0" xfId="0" applyFont="1"/>
    <xf borderId="0" fillId="21" fontId="14" numFmtId="0" xfId="0" applyFill="1" applyFont="1"/>
    <xf borderId="0" fillId="22" fontId="14" numFmtId="0" xfId="0" applyFill="1" applyFont="1"/>
    <xf borderId="0" fillId="23" fontId="14" numFmtId="0" xfId="0" applyFill="1" applyFont="1"/>
    <xf borderId="0" fillId="24" fontId="14" numFmtId="0" xfId="0" applyFill="1" applyFont="1"/>
    <xf borderId="0" fillId="25" fontId="14" numFmtId="0" xfId="0" applyFill="1" applyFont="1"/>
    <xf borderId="0" fillId="26" fontId="14" numFmtId="0" xfId="0" applyFill="1" applyFont="1"/>
    <xf borderId="0" fillId="27" fontId="14" numFmtId="0" xfId="0" applyFill="1" applyFont="1"/>
    <xf borderId="0" fillId="28" fontId="14" numFmtId="0" xfId="0" applyFill="1" applyFont="1"/>
    <xf borderId="0" fillId="29" fontId="14" numFmtId="0" xfId="0" applyFill="1" applyFont="1"/>
    <xf borderId="0" fillId="30" fontId="14" numFmtId="0" xfId="0" applyFill="1" applyFont="1"/>
    <xf borderId="0" fillId="31" fontId="14" numFmtId="0" xfId="0" applyFill="1" applyFont="1"/>
    <xf borderId="0" fillId="32" fontId="14" numFmtId="0" xfId="0" applyFill="1" applyFont="1"/>
    <xf borderId="0" fillId="33" fontId="14" numFmtId="0" xfId="0" applyFill="1" applyFont="1"/>
    <xf borderId="0" fillId="34" fontId="14" numFmtId="0" xfId="0" applyFill="1" applyFont="1"/>
    <xf borderId="0" fillId="35" fontId="14" numFmtId="0" xfId="0" applyFill="1" applyFont="1"/>
    <xf borderId="0" fillId="36" fontId="14" numFmtId="0" xfId="0" applyFill="1" applyFont="1"/>
    <xf borderId="0" fillId="37" fontId="14" numFmtId="0" xfId="0" applyFill="1" applyFont="1"/>
    <xf borderId="0" fillId="38" fontId="14" numFmtId="0" xfId="0" applyFill="1" applyFont="1"/>
    <xf borderId="0" fillId="39" fontId="14" numFmtId="0" xfId="0" applyFill="1" applyFont="1"/>
    <xf borderId="0" fillId="40" fontId="14" numFmtId="0" xfId="0" applyFill="1" applyFont="1"/>
    <xf borderId="0" fillId="41" fontId="14" numFmtId="0" xfId="0" applyFill="1" applyFont="1"/>
    <xf borderId="0" fillId="42" fontId="14" numFmtId="0" xfId="0" applyFill="1" applyFont="1"/>
    <xf borderId="0" fillId="43" fontId="14" numFmtId="0" xfId="0" applyFill="1" applyFont="1"/>
    <xf borderId="0" fillId="44" fontId="14" numFmtId="0" xfId="0" applyFill="1" applyFont="1"/>
    <xf borderId="0" fillId="45" fontId="14" numFmtId="0" xfId="0" applyFill="1" applyFont="1"/>
    <xf borderId="0" fillId="46" fontId="14" numFmtId="0" xfId="0" applyFill="1" applyFont="1"/>
    <xf borderId="0" fillId="47" fontId="14" numFmtId="0" xfId="0" applyFill="1" applyFont="1"/>
    <xf borderId="0" fillId="48" fontId="14" numFmtId="0" xfId="0" applyFill="1" applyFont="1"/>
    <xf borderId="0" fillId="49" fontId="14" numFmtId="0" xfId="0" applyFill="1" applyFont="1"/>
    <xf borderId="0" fillId="50" fontId="14" numFmtId="0" xfId="0" applyFill="1" applyFont="1"/>
    <xf borderId="0" fillId="51" fontId="14" numFmtId="0" xfId="0" applyFill="1" applyFont="1"/>
    <xf borderId="0" fillId="52" fontId="14" numFmtId="0" xfId="0" applyFill="1" applyFont="1"/>
    <xf borderId="0" fillId="53" fontId="14" numFmtId="0" xfId="0" applyFill="1" applyFont="1"/>
    <xf borderId="0" fillId="54" fontId="14" numFmtId="0" xfId="0" applyFill="1" applyFont="1"/>
    <xf borderId="0" fillId="55" fontId="14" numFmtId="0" xfId="0" applyFill="1" applyFont="1"/>
    <xf borderId="0" fillId="56" fontId="14" numFmtId="0" xfId="0" applyFill="1" applyFont="1"/>
    <xf borderId="0" fillId="57" fontId="14" numFmtId="0" xfId="0" applyFill="1" applyFont="1"/>
    <xf borderId="0" fillId="58" fontId="14" numFmtId="0" xfId="0" applyFill="1" applyFont="1"/>
    <xf borderId="0" fillId="59" fontId="14" numFmtId="0" xfId="0" applyFill="1" applyFont="1"/>
    <xf borderId="0" fillId="60" fontId="14" numFmtId="0" xfId="0" applyFill="1" applyFont="1"/>
    <xf borderId="0" fillId="61" fontId="14" numFmtId="0" xfId="0" applyFill="1" applyFont="1"/>
    <xf borderId="0" fillId="62" fontId="14" numFmtId="0" xfId="0" applyFill="1" applyFont="1"/>
    <xf borderId="0" fillId="63" fontId="14" numFmtId="0" xfId="0" applyFill="1" applyFont="1"/>
    <xf borderId="0" fillId="64" fontId="14" numFmtId="0" xfId="0" applyFill="1" applyFont="1"/>
    <xf borderId="0" fillId="65" fontId="14" numFmtId="0" xfId="0" applyFill="1" applyFont="1"/>
    <xf borderId="0" fillId="66" fontId="14" numFmtId="0" xfId="0" applyFill="1" applyFont="1"/>
    <xf borderId="0" fillId="67" fontId="14" numFmtId="0" xfId="0" applyFill="1" applyFont="1"/>
    <xf borderId="0" fillId="68" fontId="14" numFmtId="0" xfId="0" applyFill="1" applyFont="1"/>
    <xf borderId="0" fillId="69" fontId="14" numFmtId="0" xfId="0" applyFill="1" applyFont="1"/>
    <xf borderId="0" fillId="70" fontId="14" numFmtId="0" xfId="0" applyFill="1" applyFont="1"/>
    <xf borderId="0" fillId="71" fontId="14" numFmtId="0" xfId="0" applyFill="1" applyFont="1"/>
    <xf borderId="0" fillId="72" fontId="14" numFmtId="0" xfId="0" applyFill="1" applyFont="1"/>
    <xf borderId="0" fillId="73" fontId="14" numFmtId="0" xfId="0" applyFill="1" applyFont="1"/>
    <xf borderId="0" fillId="74" fontId="14" numFmtId="0" xfId="0" applyFill="1" applyFont="1"/>
    <xf borderId="0" fillId="75" fontId="14" numFmtId="0" xfId="0" applyFill="1" applyFont="1"/>
    <xf borderId="0" fillId="76" fontId="14" numFmtId="0" xfId="0" applyFill="1" applyFont="1"/>
    <xf borderId="0" fillId="77" fontId="14" numFmtId="0" xfId="0" applyFill="1" applyFont="1"/>
    <xf borderId="0" fillId="78" fontId="14" numFmtId="0" xfId="0" applyFill="1" applyFont="1"/>
    <xf borderId="0" fillId="79" fontId="14" numFmtId="0" xfId="0" applyFill="1" applyFont="1"/>
    <xf borderId="0" fillId="80" fontId="14" numFmtId="0" xfId="0" applyFill="1" applyFont="1"/>
    <xf borderId="0" fillId="81" fontId="14" numFmtId="0" xfId="0" applyFill="1" applyFont="1"/>
    <xf borderId="0" fillId="82" fontId="14" numFmtId="0" xfId="0" applyFill="1" applyFont="1"/>
    <xf borderId="0" fillId="83" fontId="14" numFmtId="0" xfId="0" applyFill="1" applyFont="1"/>
    <xf borderId="0" fillId="84" fontId="14" numFmtId="0" xfId="0" applyFill="1" applyFont="1"/>
    <xf borderId="0" fillId="85" fontId="14" numFmtId="0" xfId="0" applyFill="1" applyFont="1"/>
    <xf borderId="0" fillId="4" fontId="2" numFmtId="0" xfId="0" applyAlignment="1" applyFont="1">
      <alignment horizontal="center" readingOrder="0"/>
    </xf>
    <xf borderId="0" fillId="86" fontId="2" numFmtId="14" xfId="0" applyFill="1" applyFont="1" applyNumberFormat="1"/>
    <xf borderId="0" fillId="0" fontId="2" numFmtId="3" xfId="0" applyFont="1" applyNumberFormat="1"/>
    <xf borderId="0" fillId="0" fontId="1" numFmtId="4" xfId="0" applyFont="1" applyNumberFormat="1"/>
    <xf borderId="0" fillId="0" fontId="2" numFmtId="10" xfId="0" applyFont="1" applyNumberFormat="1"/>
  </cellXfs>
  <cellStyles count="1">
    <cellStyle xfId="0" name="Normal" builtinId="0"/>
  </cellStyles>
  <dxfs count="8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FFF2CC"/>
          <bgColor rgb="FFFFF2CC"/>
        </patternFill>
      </fill>
      <border/>
    </dxf>
    <dxf>
      <font>
        <color rgb="FF000000"/>
      </font>
      <fill>
        <patternFill patternType="solid">
          <fgColor rgb="FFF4C7C3"/>
          <bgColor rgb="FFF4C7C3"/>
        </patternFill>
      </fill>
      <border/>
    </dxf>
  </dxfs>
  <tableStyles count="1">
    <tableStyle count="2" pivot="0" name="Daily Expense Tracker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'Weekly Analysis'!$F$1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'Weekly Analysis'!$D$2:$D$1000</c:f>
            </c:strRef>
          </c:cat>
          <c:val>
            <c:numRef>
              <c:f>'Weekly Analysis'!$F$2:$F$1000</c:f>
              <c:numCache/>
            </c:numRef>
          </c:val>
        </c:ser>
        <c:axId val="1443873001"/>
        <c:axId val="1868806719"/>
      </c:barChart>
      <c:lineChart>
        <c:varyColors val="0"/>
        <c:ser>
          <c:idx val="1"/>
          <c:order val="1"/>
          <c:tx>
            <c:strRef>
              <c:f>'Weekly Analysis'!$G$1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'Weekly Analysis'!$D$2:$D$1000</c:f>
            </c:strRef>
          </c:cat>
          <c:val>
            <c:numRef>
              <c:f>'Weekly Analysis'!$G$2:$G$1000</c:f>
              <c:numCache/>
            </c:numRef>
          </c:val>
          <c:smooth val="0"/>
        </c:ser>
        <c:axId val="1443873001"/>
        <c:axId val="1868806719"/>
      </c:lineChart>
      <c:catAx>
        <c:axId val="1443873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8806719"/>
      </c:catAx>
      <c:valAx>
        <c:axId val="1868806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8730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Tahoma"/>
              </a:defRPr>
            </a:pPr>
            <a:r>
              <a:rPr b="0">
                <a:solidFill>
                  <a:srgbClr val="757575"/>
                </a:solidFill>
                <a:latin typeface="Tahoma"/>
              </a:rPr>
              <a:t>Actual Spend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Calc!$B$5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Calc!$A$6:$A$10</c:f>
            </c:strRef>
          </c:cat>
          <c:val>
            <c:numRef>
              <c:f>Calc!$B$6:$B$10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0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7</xdr:row>
      <xdr:rowOff>0</xdr:rowOff>
    </xdr:from>
    <xdr:ext cx="5791200" cy="3590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G29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aily Expense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1.88"/>
    <col customWidth="1" min="3" max="3" width="12.13"/>
    <col customWidth="1" min="4" max="4" width="14.0"/>
    <col customWidth="1" min="5" max="5" width="12.75"/>
    <col customWidth="1" min="7" max="7" width="98.88"/>
    <col customWidth="1" hidden="1" min="11" max="11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4"/>
      <c r="I1" s="2"/>
      <c r="J1" s="2"/>
      <c r="K1" s="2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>
        <v>2026.0</v>
      </c>
      <c r="B2" s="5">
        <v>50000.0</v>
      </c>
      <c r="C2" s="6">
        <f t="shared" ref="C2:C6" si="1">floor(B2*0.5,1)</f>
        <v>25000</v>
      </c>
      <c r="D2" s="6">
        <f t="shared" ref="D2:D6" si="2">floor(B2*0.3,1)</f>
        <v>15000</v>
      </c>
      <c r="E2" s="6">
        <f t="shared" ref="E2:E6" si="3">ceiling(B2*0.2,1)</f>
        <v>10000</v>
      </c>
      <c r="F2" s="2"/>
      <c r="H2" s="4"/>
      <c r="I2" s="2"/>
      <c r="J2" s="2"/>
      <c r="K2" s="2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>
        <v>2027.0</v>
      </c>
      <c r="B3" s="7">
        <f t="shared" ref="B3:B6" si="4">B2*1.1</f>
        <v>55000</v>
      </c>
      <c r="C3" s="6">
        <f t="shared" si="1"/>
        <v>27500</v>
      </c>
      <c r="D3" s="6">
        <f t="shared" si="2"/>
        <v>16500</v>
      </c>
      <c r="E3" s="6">
        <f t="shared" si="3"/>
        <v>11000</v>
      </c>
      <c r="F3" s="2"/>
      <c r="H3" s="4"/>
      <c r="I3" s="2"/>
      <c r="J3" s="2"/>
      <c r="K3" s="2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2028.0</v>
      </c>
      <c r="B4" s="7">
        <f t="shared" si="4"/>
        <v>60500</v>
      </c>
      <c r="C4" s="6">
        <f t="shared" si="1"/>
        <v>30250</v>
      </c>
      <c r="D4" s="6">
        <f t="shared" si="2"/>
        <v>18150</v>
      </c>
      <c r="E4" s="6">
        <f t="shared" si="3"/>
        <v>12100</v>
      </c>
      <c r="F4" s="2"/>
      <c r="H4" s="4"/>
      <c r="I4" s="2"/>
      <c r="J4" s="2"/>
      <c r="K4" s="2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2029.0</v>
      </c>
      <c r="B5" s="7">
        <f t="shared" si="4"/>
        <v>66550</v>
      </c>
      <c r="C5" s="6">
        <f t="shared" si="1"/>
        <v>33275</v>
      </c>
      <c r="D5" s="6">
        <f t="shared" si="2"/>
        <v>19965</v>
      </c>
      <c r="E5" s="6">
        <f t="shared" si="3"/>
        <v>13310</v>
      </c>
      <c r="F5" s="2"/>
      <c r="H5" s="4"/>
      <c r="I5" s="2"/>
      <c r="J5" s="2"/>
      <c r="K5" s="2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2030.0</v>
      </c>
      <c r="B6" s="7">
        <f t="shared" si="4"/>
        <v>73205</v>
      </c>
      <c r="C6" s="6">
        <f t="shared" si="1"/>
        <v>36602</v>
      </c>
      <c r="D6" s="6">
        <f t="shared" si="2"/>
        <v>21961</v>
      </c>
      <c r="E6" s="6">
        <f t="shared" si="3"/>
        <v>14641</v>
      </c>
      <c r="F6" s="2"/>
      <c r="H6" s="4"/>
      <c r="I6" s="2"/>
      <c r="J6" s="2"/>
      <c r="K6" s="2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6</v>
      </c>
      <c r="B10" s="1" t="s">
        <v>7</v>
      </c>
      <c r="C10" s="2"/>
      <c r="D10" s="1" t="s">
        <v>8</v>
      </c>
      <c r="E10" s="2"/>
      <c r="F10" s="2"/>
      <c r="H10" s="2"/>
      <c r="I10" s="8"/>
      <c r="J10" s="8"/>
      <c r="K10" s="9" t="str">
        <f>IFERROR(__xludf.DUMMYFUNCTION("{""All""; FILTER(D11:D20, D11:D20&lt;&gt;"""")}"),"All")</f>
        <v>All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 t="s">
        <v>9</v>
      </c>
      <c r="B11" s="11" t="s">
        <v>10</v>
      </c>
      <c r="C11" s="2"/>
      <c r="D11" s="4" t="s">
        <v>11</v>
      </c>
      <c r="E11" s="2"/>
      <c r="F11" s="2"/>
      <c r="H11" s="2"/>
      <c r="I11" s="12"/>
      <c r="J11" s="12"/>
      <c r="K11" s="13" t="str">
        <f>IFERROR(__xludf.DUMMYFUNCTION("""COMPUTED_VALUE"""),"Credit Card")</f>
        <v>Credit Card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 t="s">
        <v>12</v>
      </c>
      <c r="B12" s="11" t="s">
        <v>13</v>
      </c>
      <c r="C12" s="2"/>
      <c r="D12" s="4" t="s">
        <v>14</v>
      </c>
      <c r="E12" s="2"/>
      <c r="F12" s="2"/>
      <c r="H12" s="2"/>
      <c r="I12" s="12"/>
      <c r="J12" s="12"/>
      <c r="K12" s="13" t="str">
        <f>IFERROR(__xludf.DUMMYFUNCTION("""COMPUTED_VALUE"""),"Debit Card")</f>
        <v>Debit Card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 t="s">
        <v>15</v>
      </c>
      <c r="B13" s="11" t="s">
        <v>10</v>
      </c>
      <c r="C13" s="2"/>
      <c r="D13" s="4" t="s">
        <v>16</v>
      </c>
      <c r="E13" s="2"/>
      <c r="F13" s="2"/>
      <c r="H13" s="2"/>
      <c r="I13" s="12"/>
      <c r="J13" s="12"/>
      <c r="K13" s="13" t="str">
        <f>IFERROR(__xludf.DUMMYFUNCTION("""COMPUTED_VALUE"""),"UPI")</f>
        <v>UPI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0" t="s">
        <v>17</v>
      </c>
      <c r="B14" s="11" t="s">
        <v>18</v>
      </c>
      <c r="C14" s="2"/>
      <c r="D14" s="4" t="s">
        <v>19</v>
      </c>
      <c r="E14" s="2"/>
      <c r="F14" s="2"/>
      <c r="H14" s="2"/>
      <c r="I14" s="2"/>
      <c r="J14" s="2"/>
      <c r="K14" s="14" t="str">
        <f>IFERROR(__xludf.DUMMYFUNCTION("""COMPUTED_VALUE"""),"Cash")</f>
        <v>Cash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0" t="s">
        <v>20</v>
      </c>
      <c r="B15" s="4" t="s">
        <v>18</v>
      </c>
      <c r="C15" s="2"/>
      <c r="D15" s="4" t="s">
        <v>21</v>
      </c>
      <c r="E15" s="2"/>
      <c r="F15" s="2"/>
      <c r="G15" s="2"/>
      <c r="H15" s="2"/>
      <c r="I15" s="2"/>
      <c r="J15" s="2"/>
      <c r="K15" s="14" t="str">
        <f>IFERROR(__xludf.DUMMYFUNCTION("""COMPUTED_VALUE"""),"Bank Transfer")</f>
        <v>Bank Transfer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5" t="s">
        <v>22</v>
      </c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6">
        <v>10000.0</v>
      </c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G1:G14"/>
  </mergeCells>
  <conditionalFormatting sqref="J2:L2">
    <cfRule type="expression" dxfId="0" priority="1">
      <formula>SUM($J2:$L2) &gt; 1</formula>
    </cfRule>
  </conditionalFormatting>
  <conditionalFormatting sqref="J3:L3">
    <cfRule type="expression" dxfId="0" priority="2">
      <formula>SUM($J3:$L3) &gt; 1</formula>
    </cfRule>
  </conditionalFormatting>
  <conditionalFormatting sqref="J4:L4">
    <cfRule type="expression" dxfId="0" priority="3">
      <formula>SUM($J4:$L4) &gt; 1</formula>
    </cfRule>
  </conditionalFormatting>
  <conditionalFormatting sqref="J5:L5">
    <cfRule type="expression" dxfId="0" priority="4">
      <formula>SUM($J5:$L5) &gt; 1</formula>
    </cfRule>
  </conditionalFormatting>
  <conditionalFormatting sqref="J6:L6">
    <cfRule type="expression" dxfId="0" priority="5">
      <formula>SUM($J6:$L6) &gt; 1</formula>
    </cfRule>
  </conditionalFormatting>
  <dataValidations>
    <dataValidation type="list" allowBlank="1" showErrorMessage="1" sqref="B11:B15">
      <formula1>"Need,Want,Saving"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1.38"/>
    <col customWidth="1" min="3" max="3" width="25.88"/>
    <col customWidth="1" min="4" max="4" width="11.88"/>
    <col customWidth="1" min="5" max="5" width="26.0"/>
    <col customWidth="1" min="6" max="6" width="11.0"/>
    <col customWidth="1" min="7" max="7" width="45.5"/>
  </cols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8</v>
      </c>
      <c r="F1" s="1" t="s">
        <v>7</v>
      </c>
      <c r="G1" s="1" t="s">
        <v>27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9">
        <v>46023.0</v>
      </c>
      <c r="B2" s="20" t="s">
        <v>28</v>
      </c>
      <c r="C2" s="21" t="s">
        <v>9</v>
      </c>
      <c r="D2" s="22">
        <v>450.0</v>
      </c>
      <c r="E2" s="23" t="s">
        <v>16</v>
      </c>
      <c r="F2" s="23" t="s">
        <v>10</v>
      </c>
      <c r="G2" s="24" t="s">
        <v>29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9">
        <v>46023.0</v>
      </c>
      <c r="B3" s="25" t="s">
        <v>30</v>
      </c>
      <c r="C3" s="26" t="s">
        <v>20</v>
      </c>
      <c r="D3" s="27">
        <v>950.0</v>
      </c>
      <c r="E3" s="28" t="s">
        <v>11</v>
      </c>
      <c r="F3" s="29" t="s">
        <v>18</v>
      </c>
      <c r="G3" s="30" t="s">
        <v>31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1">
        <v>46023.0</v>
      </c>
      <c r="B4" s="20" t="s">
        <v>32</v>
      </c>
      <c r="C4" s="32" t="s">
        <v>20</v>
      </c>
      <c r="D4" s="22">
        <v>380.0</v>
      </c>
      <c r="E4" s="23" t="s">
        <v>16</v>
      </c>
      <c r="F4" s="23" t="s">
        <v>18</v>
      </c>
      <c r="G4" s="24" t="s">
        <v>33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9">
        <v>46024.0</v>
      </c>
      <c r="B5" s="25" t="s">
        <v>34</v>
      </c>
      <c r="C5" s="33" t="s">
        <v>9</v>
      </c>
      <c r="D5" s="27">
        <v>12000.0</v>
      </c>
      <c r="E5" s="33" t="s">
        <v>21</v>
      </c>
      <c r="F5" s="26" t="s">
        <v>10</v>
      </c>
      <c r="G5" s="30" t="s">
        <v>35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1">
        <v>46024.0</v>
      </c>
      <c r="B6" s="20" t="s">
        <v>36</v>
      </c>
      <c r="C6" s="21" t="s">
        <v>9</v>
      </c>
      <c r="D6" s="22">
        <v>1600.0</v>
      </c>
      <c r="E6" s="32" t="s">
        <v>16</v>
      </c>
      <c r="F6" s="23" t="s">
        <v>10</v>
      </c>
      <c r="G6" s="24" t="s">
        <v>37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">
        <v>46024.0</v>
      </c>
      <c r="B7" s="25" t="s">
        <v>38</v>
      </c>
      <c r="C7" s="33" t="s">
        <v>20</v>
      </c>
      <c r="D7" s="27">
        <v>320.0</v>
      </c>
      <c r="E7" s="28" t="s">
        <v>16</v>
      </c>
      <c r="F7" s="26" t="s">
        <v>18</v>
      </c>
      <c r="G7" s="30" t="s">
        <v>39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1">
        <v>46024.0</v>
      </c>
      <c r="B8" s="20" t="s">
        <v>40</v>
      </c>
      <c r="C8" s="34" t="s">
        <v>20</v>
      </c>
      <c r="D8" s="22">
        <v>30.0</v>
      </c>
      <c r="E8" s="23" t="s">
        <v>19</v>
      </c>
      <c r="F8" s="23" t="s">
        <v>18</v>
      </c>
      <c r="G8" s="24" t="s">
        <v>41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">
        <v>46025.0</v>
      </c>
      <c r="B9" s="25" t="s">
        <v>42</v>
      </c>
      <c r="C9" s="35" t="s">
        <v>20</v>
      </c>
      <c r="D9" s="27">
        <v>3200.0</v>
      </c>
      <c r="E9" s="33" t="s">
        <v>11</v>
      </c>
      <c r="F9" s="33" t="s">
        <v>18</v>
      </c>
      <c r="G9" s="30" t="s">
        <v>43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31">
        <v>46025.0</v>
      </c>
      <c r="B10" s="20" t="s">
        <v>44</v>
      </c>
      <c r="C10" s="34" t="s">
        <v>20</v>
      </c>
      <c r="D10" s="22">
        <v>800.0</v>
      </c>
      <c r="E10" s="23" t="s">
        <v>16</v>
      </c>
      <c r="F10" s="23" t="s">
        <v>18</v>
      </c>
      <c r="G10" s="24" t="s">
        <v>45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">
        <v>46025.0</v>
      </c>
      <c r="B11" s="25" t="s">
        <v>46</v>
      </c>
      <c r="C11" s="28" t="s">
        <v>20</v>
      </c>
      <c r="D11" s="27">
        <v>1100.0</v>
      </c>
      <c r="E11" s="26" t="s">
        <v>11</v>
      </c>
      <c r="F11" s="33" t="s">
        <v>18</v>
      </c>
      <c r="G11" s="30" t="s">
        <v>47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31">
        <v>46025.0</v>
      </c>
      <c r="B12" s="20" t="s">
        <v>48</v>
      </c>
      <c r="C12" s="32" t="s">
        <v>9</v>
      </c>
      <c r="D12" s="22">
        <v>280.0</v>
      </c>
      <c r="E12" s="34" t="s">
        <v>16</v>
      </c>
      <c r="F12" s="36" t="s">
        <v>10</v>
      </c>
      <c r="G12" s="24" t="s">
        <v>49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">
        <v>46026.0</v>
      </c>
      <c r="B13" s="25" t="s">
        <v>50</v>
      </c>
      <c r="C13" s="28" t="s">
        <v>20</v>
      </c>
      <c r="D13" s="27">
        <v>550.0</v>
      </c>
      <c r="E13" s="26" t="s">
        <v>16</v>
      </c>
      <c r="F13" s="33" t="s">
        <v>18</v>
      </c>
      <c r="G13" s="30" t="s">
        <v>51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1">
        <v>46026.0</v>
      </c>
      <c r="B14" s="20" t="s">
        <v>52</v>
      </c>
      <c r="C14" s="21" t="s">
        <v>9</v>
      </c>
      <c r="D14" s="22">
        <v>420.0</v>
      </c>
      <c r="E14" s="23" t="s">
        <v>16</v>
      </c>
      <c r="F14" s="23" t="s">
        <v>10</v>
      </c>
      <c r="G14" s="24" t="s">
        <v>53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9">
        <v>46026.0</v>
      </c>
      <c r="B15" s="25" t="s">
        <v>54</v>
      </c>
      <c r="C15" s="35" t="s">
        <v>20</v>
      </c>
      <c r="D15" s="27">
        <v>1800.0</v>
      </c>
      <c r="E15" s="33" t="s">
        <v>11</v>
      </c>
      <c r="F15" s="33" t="s">
        <v>18</v>
      </c>
      <c r="G15" s="30" t="s">
        <v>55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1">
        <v>46027.0</v>
      </c>
      <c r="B16" s="20" t="s">
        <v>56</v>
      </c>
      <c r="C16" s="23" t="s">
        <v>9</v>
      </c>
      <c r="D16" s="22">
        <v>500.0</v>
      </c>
      <c r="E16" s="23" t="s">
        <v>16</v>
      </c>
      <c r="F16" s="32" t="s">
        <v>10</v>
      </c>
      <c r="G16" s="24" t="s">
        <v>57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9">
        <v>46027.0</v>
      </c>
      <c r="B17" s="25" t="s">
        <v>58</v>
      </c>
      <c r="C17" s="35" t="s">
        <v>9</v>
      </c>
      <c r="D17" s="27">
        <v>299.0</v>
      </c>
      <c r="E17" s="33" t="s">
        <v>16</v>
      </c>
      <c r="F17" s="33" t="s">
        <v>10</v>
      </c>
      <c r="G17" s="30" t="s">
        <v>59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1">
        <v>46027.0</v>
      </c>
      <c r="B18" s="20" t="s">
        <v>60</v>
      </c>
      <c r="C18" s="23" t="s">
        <v>20</v>
      </c>
      <c r="D18" s="22">
        <v>380.0</v>
      </c>
      <c r="E18" s="23" t="s">
        <v>16</v>
      </c>
      <c r="F18" s="32" t="s">
        <v>18</v>
      </c>
      <c r="G18" s="24" t="s">
        <v>61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9">
        <v>46027.0</v>
      </c>
      <c r="B19" s="25" t="s">
        <v>32</v>
      </c>
      <c r="C19" s="35" t="s">
        <v>20</v>
      </c>
      <c r="D19" s="27">
        <v>290.0</v>
      </c>
      <c r="E19" s="26" t="s">
        <v>16</v>
      </c>
      <c r="F19" s="33" t="s">
        <v>18</v>
      </c>
      <c r="G19" s="30" t="s">
        <v>62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1">
        <v>46028.0</v>
      </c>
      <c r="B20" s="20" t="s">
        <v>63</v>
      </c>
      <c r="C20" s="23" t="s">
        <v>15</v>
      </c>
      <c r="D20" s="22">
        <v>1500.0</v>
      </c>
      <c r="E20" s="23" t="s">
        <v>14</v>
      </c>
      <c r="F20" s="32" t="s">
        <v>10</v>
      </c>
      <c r="G20" s="24" t="s">
        <v>64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9">
        <v>46028.0</v>
      </c>
      <c r="B21" s="25" t="s">
        <v>65</v>
      </c>
      <c r="C21" s="33" t="s">
        <v>9</v>
      </c>
      <c r="D21" s="27">
        <v>200.0</v>
      </c>
      <c r="E21" s="33" t="s">
        <v>16</v>
      </c>
      <c r="F21" s="26" t="s">
        <v>10</v>
      </c>
      <c r="G21" s="30" t="s">
        <v>66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1">
        <v>46028.0</v>
      </c>
      <c r="B22" s="20" t="s">
        <v>67</v>
      </c>
      <c r="C22" s="21" t="s">
        <v>20</v>
      </c>
      <c r="D22" s="22">
        <v>130.0</v>
      </c>
      <c r="E22" s="32" t="s">
        <v>19</v>
      </c>
      <c r="F22" s="23" t="s">
        <v>18</v>
      </c>
      <c r="G22" s="24" t="s">
        <v>39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9">
        <v>46029.0</v>
      </c>
      <c r="B23" s="25" t="s">
        <v>68</v>
      </c>
      <c r="C23" s="35" t="s">
        <v>20</v>
      </c>
      <c r="D23" s="27">
        <v>199.0</v>
      </c>
      <c r="E23" s="33" t="s">
        <v>11</v>
      </c>
      <c r="F23" s="33" t="s">
        <v>18</v>
      </c>
      <c r="G23" s="30" t="s">
        <v>69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1">
        <v>46029.0</v>
      </c>
      <c r="B24" s="20" t="s">
        <v>70</v>
      </c>
      <c r="C24" s="34" t="s">
        <v>20</v>
      </c>
      <c r="D24" s="22">
        <v>119.0</v>
      </c>
      <c r="E24" s="23" t="s">
        <v>11</v>
      </c>
      <c r="F24" s="23" t="s">
        <v>18</v>
      </c>
      <c r="G24" s="24" t="s">
        <v>69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19">
        <v>46029.0</v>
      </c>
      <c r="B25" s="25" t="s">
        <v>71</v>
      </c>
      <c r="C25" s="26" t="s">
        <v>9</v>
      </c>
      <c r="D25" s="27">
        <v>350.0</v>
      </c>
      <c r="E25" s="33" t="s">
        <v>16</v>
      </c>
      <c r="F25" s="26" t="s">
        <v>10</v>
      </c>
      <c r="G25" s="30" t="s">
        <v>72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1">
        <v>46029.0</v>
      </c>
      <c r="B26" s="20" t="s">
        <v>73</v>
      </c>
      <c r="C26" s="21" t="s">
        <v>9</v>
      </c>
      <c r="D26" s="22">
        <v>60.0</v>
      </c>
      <c r="E26" s="23" t="s">
        <v>19</v>
      </c>
      <c r="F26" s="23" t="s">
        <v>10</v>
      </c>
      <c r="G26" s="24" t="s">
        <v>74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19">
        <v>46030.0</v>
      </c>
      <c r="B27" s="25" t="s">
        <v>75</v>
      </c>
      <c r="C27" s="35" t="s">
        <v>9</v>
      </c>
      <c r="D27" s="27">
        <v>1400.0</v>
      </c>
      <c r="E27" s="33" t="s">
        <v>16</v>
      </c>
      <c r="F27" s="33" t="s">
        <v>10</v>
      </c>
      <c r="G27" s="30" t="s">
        <v>76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1">
        <v>46030.0</v>
      </c>
      <c r="B28" s="20" t="s">
        <v>77</v>
      </c>
      <c r="C28" s="21" t="s">
        <v>20</v>
      </c>
      <c r="D28" s="22">
        <v>1600.0</v>
      </c>
      <c r="E28" s="32" t="s">
        <v>11</v>
      </c>
      <c r="F28" s="23" t="s">
        <v>18</v>
      </c>
      <c r="G28" s="24" t="s">
        <v>78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19">
        <v>46030.0</v>
      </c>
      <c r="B29" s="25" t="s">
        <v>79</v>
      </c>
      <c r="C29" s="28" t="s">
        <v>9</v>
      </c>
      <c r="D29" s="27">
        <v>350.0</v>
      </c>
      <c r="E29" s="33" t="s">
        <v>16</v>
      </c>
      <c r="F29" s="33" t="s">
        <v>10</v>
      </c>
      <c r="G29" s="30" t="s">
        <v>80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1">
        <v>46031.0</v>
      </c>
      <c r="B30" s="20" t="s">
        <v>81</v>
      </c>
      <c r="C30" s="23" t="s">
        <v>9</v>
      </c>
      <c r="D30" s="22">
        <v>800.0</v>
      </c>
      <c r="E30" s="23" t="s">
        <v>14</v>
      </c>
      <c r="F30" s="32" t="s">
        <v>10</v>
      </c>
      <c r="G30" s="24" t="s">
        <v>82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9">
        <v>46031.0</v>
      </c>
      <c r="B31" s="25" t="s">
        <v>83</v>
      </c>
      <c r="C31" s="33" t="s">
        <v>20</v>
      </c>
      <c r="D31" s="27">
        <v>650.0</v>
      </c>
      <c r="E31" s="33" t="s">
        <v>16</v>
      </c>
      <c r="F31" s="26" t="s">
        <v>18</v>
      </c>
      <c r="G31" s="30" t="s">
        <v>84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1">
        <v>46031.0</v>
      </c>
      <c r="B32" s="20" t="s">
        <v>85</v>
      </c>
      <c r="C32" s="23" t="s">
        <v>20</v>
      </c>
      <c r="D32" s="22">
        <v>50.0</v>
      </c>
      <c r="E32" s="23" t="s">
        <v>19</v>
      </c>
      <c r="F32" s="32" t="s">
        <v>18</v>
      </c>
      <c r="G32" s="24" t="s">
        <v>86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9">
        <v>46032.0</v>
      </c>
      <c r="B33" s="25" t="s">
        <v>87</v>
      </c>
      <c r="C33" s="28" t="s">
        <v>20</v>
      </c>
      <c r="D33" s="27">
        <v>4500.0</v>
      </c>
      <c r="E33" s="26" t="s">
        <v>11</v>
      </c>
      <c r="F33" s="33" t="s">
        <v>18</v>
      </c>
      <c r="G33" s="30" t="s">
        <v>88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1">
        <v>46032.0</v>
      </c>
      <c r="B34" s="20" t="s">
        <v>89</v>
      </c>
      <c r="C34" s="23" t="s">
        <v>20</v>
      </c>
      <c r="D34" s="22">
        <v>700.0</v>
      </c>
      <c r="E34" s="32" t="s">
        <v>16</v>
      </c>
      <c r="F34" s="23" t="s">
        <v>18</v>
      </c>
      <c r="G34" s="24" t="s">
        <v>90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9">
        <v>46032.0</v>
      </c>
      <c r="B35" s="25" t="s">
        <v>48</v>
      </c>
      <c r="C35" s="28" t="s">
        <v>9</v>
      </c>
      <c r="D35" s="27">
        <v>300.0</v>
      </c>
      <c r="E35" s="26" t="s">
        <v>16</v>
      </c>
      <c r="F35" s="33" t="s">
        <v>10</v>
      </c>
      <c r="G35" s="30" t="s">
        <v>91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1">
        <v>46033.0</v>
      </c>
      <c r="B36" s="20" t="s">
        <v>92</v>
      </c>
      <c r="C36" s="34" t="s">
        <v>9</v>
      </c>
      <c r="D36" s="22">
        <v>1100.0</v>
      </c>
      <c r="E36" s="23" t="s">
        <v>19</v>
      </c>
      <c r="F36" s="23" t="s">
        <v>10</v>
      </c>
      <c r="G36" s="24" t="s">
        <v>93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9">
        <v>46033.0</v>
      </c>
      <c r="B37" s="25" t="s">
        <v>38</v>
      </c>
      <c r="C37" s="33" t="s">
        <v>20</v>
      </c>
      <c r="D37" s="27">
        <v>280.0</v>
      </c>
      <c r="E37" s="33" t="s">
        <v>16</v>
      </c>
      <c r="F37" s="26" t="s">
        <v>18</v>
      </c>
      <c r="G37" s="30" t="s">
        <v>94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1">
        <v>46033.0</v>
      </c>
      <c r="B38" s="20" t="s">
        <v>95</v>
      </c>
      <c r="C38" s="23" t="s">
        <v>20</v>
      </c>
      <c r="D38" s="22">
        <v>200.0</v>
      </c>
      <c r="E38" s="23" t="s">
        <v>16</v>
      </c>
      <c r="F38" s="32" t="s">
        <v>18</v>
      </c>
      <c r="G38" s="24" t="s">
        <v>96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9">
        <v>46034.0</v>
      </c>
      <c r="B39" s="25" t="s">
        <v>65</v>
      </c>
      <c r="C39" s="35" t="s">
        <v>9</v>
      </c>
      <c r="D39" s="27">
        <v>180.0</v>
      </c>
      <c r="E39" s="26" t="s">
        <v>16</v>
      </c>
      <c r="F39" s="33" t="s">
        <v>10</v>
      </c>
      <c r="G39" s="30" t="s">
        <v>97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1">
        <v>46034.0</v>
      </c>
      <c r="B40" s="20" t="s">
        <v>98</v>
      </c>
      <c r="C40" s="23" t="s">
        <v>17</v>
      </c>
      <c r="D40" s="22">
        <v>450.0</v>
      </c>
      <c r="E40" s="23" t="s">
        <v>16</v>
      </c>
      <c r="F40" s="32" t="s">
        <v>18</v>
      </c>
      <c r="G40" s="24" t="s">
        <v>99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9">
        <v>46035.0</v>
      </c>
      <c r="B41" s="25" t="s">
        <v>100</v>
      </c>
      <c r="C41" s="33" t="s">
        <v>9</v>
      </c>
      <c r="D41" s="27">
        <v>799.0</v>
      </c>
      <c r="E41" s="26" t="s">
        <v>16</v>
      </c>
      <c r="F41" s="33" t="s">
        <v>10</v>
      </c>
      <c r="G41" s="30" t="s">
        <v>101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1">
        <v>46035.0</v>
      </c>
      <c r="B42" s="20" t="s">
        <v>40</v>
      </c>
      <c r="C42" s="21" t="s">
        <v>20</v>
      </c>
      <c r="D42" s="22">
        <v>30.0</v>
      </c>
      <c r="E42" s="23" t="s">
        <v>19</v>
      </c>
      <c r="F42" s="32" t="s">
        <v>18</v>
      </c>
      <c r="G42" s="24" t="s">
        <v>102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9">
        <v>46035.0</v>
      </c>
      <c r="B43" s="25" t="s">
        <v>32</v>
      </c>
      <c r="C43" s="28" t="s">
        <v>20</v>
      </c>
      <c r="D43" s="27">
        <v>350.0</v>
      </c>
      <c r="E43" s="33" t="s">
        <v>16</v>
      </c>
      <c r="F43" s="33" t="s">
        <v>18</v>
      </c>
      <c r="G43" s="30" t="s">
        <v>103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1">
        <v>46036.0</v>
      </c>
      <c r="B44" s="20" t="s">
        <v>104</v>
      </c>
      <c r="C44" s="34" t="s">
        <v>9</v>
      </c>
      <c r="D44" s="22">
        <v>200.0</v>
      </c>
      <c r="E44" s="23" t="s">
        <v>16</v>
      </c>
      <c r="F44" s="23" t="s">
        <v>10</v>
      </c>
      <c r="G44" s="24" t="s">
        <v>105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9">
        <v>46036.0</v>
      </c>
      <c r="B45" s="25" t="s">
        <v>106</v>
      </c>
      <c r="C45" s="26" t="s">
        <v>20</v>
      </c>
      <c r="D45" s="27">
        <v>900.0</v>
      </c>
      <c r="E45" s="28" t="s">
        <v>11</v>
      </c>
      <c r="F45" s="29" t="s">
        <v>18</v>
      </c>
      <c r="G45" s="30" t="s">
        <v>107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1">
        <v>46036.0</v>
      </c>
      <c r="B46" s="20" t="s">
        <v>108</v>
      </c>
      <c r="C46" s="34" t="s">
        <v>20</v>
      </c>
      <c r="D46" s="22">
        <v>120.0</v>
      </c>
      <c r="E46" s="23" t="s">
        <v>19</v>
      </c>
      <c r="F46" s="32" t="s">
        <v>18</v>
      </c>
      <c r="G46" s="24" t="s">
        <v>109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9">
        <v>46037.0</v>
      </c>
      <c r="B47" s="25" t="s">
        <v>110</v>
      </c>
      <c r="C47" s="35" t="s">
        <v>12</v>
      </c>
      <c r="D47" s="27">
        <v>2000.0</v>
      </c>
      <c r="E47" s="33" t="s">
        <v>21</v>
      </c>
      <c r="F47" s="33" t="s">
        <v>13</v>
      </c>
      <c r="G47" s="30" t="s">
        <v>111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1">
        <v>46037.0</v>
      </c>
      <c r="B48" s="20" t="s">
        <v>52</v>
      </c>
      <c r="C48" s="21" t="s">
        <v>9</v>
      </c>
      <c r="D48" s="22">
        <v>380.0</v>
      </c>
      <c r="E48" s="32" t="s">
        <v>16</v>
      </c>
      <c r="F48" s="23" t="s">
        <v>10</v>
      </c>
      <c r="G48" s="24" t="s">
        <v>112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9">
        <v>46037.0</v>
      </c>
      <c r="B49" s="25" t="s">
        <v>113</v>
      </c>
      <c r="C49" s="33" t="s">
        <v>20</v>
      </c>
      <c r="D49" s="27">
        <v>800.0</v>
      </c>
      <c r="E49" s="33" t="s">
        <v>11</v>
      </c>
      <c r="F49" s="26" t="s">
        <v>18</v>
      </c>
      <c r="G49" s="30" t="s">
        <v>114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1">
        <v>46038.0</v>
      </c>
      <c r="B50" s="20" t="s">
        <v>48</v>
      </c>
      <c r="C50" s="23" t="s">
        <v>9</v>
      </c>
      <c r="D50" s="22">
        <v>220.0</v>
      </c>
      <c r="E50" s="23" t="s">
        <v>16</v>
      </c>
      <c r="F50" s="32" t="s">
        <v>10</v>
      </c>
      <c r="G50" s="24" t="s">
        <v>115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9">
        <v>46038.0</v>
      </c>
      <c r="B51" s="25" t="s">
        <v>116</v>
      </c>
      <c r="C51" s="33" t="s">
        <v>20</v>
      </c>
      <c r="D51" s="27">
        <v>1400.0</v>
      </c>
      <c r="E51" s="26" t="s">
        <v>11</v>
      </c>
      <c r="F51" s="33" t="s">
        <v>18</v>
      </c>
      <c r="G51" s="30" t="s">
        <v>117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1">
        <v>46039.0</v>
      </c>
      <c r="B52" s="20" t="s">
        <v>118</v>
      </c>
      <c r="C52" s="23" t="s">
        <v>20</v>
      </c>
      <c r="D52" s="22">
        <v>750.0</v>
      </c>
      <c r="E52" s="23" t="s">
        <v>16</v>
      </c>
      <c r="F52" s="32" t="s">
        <v>18</v>
      </c>
      <c r="G52" s="24" t="s">
        <v>119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9">
        <v>46039.0</v>
      </c>
      <c r="B53" s="25" t="s">
        <v>120</v>
      </c>
      <c r="C53" s="33" t="s">
        <v>20</v>
      </c>
      <c r="D53" s="27">
        <v>1200.0</v>
      </c>
      <c r="E53" s="26" t="s">
        <v>11</v>
      </c>
      <c r="F53" s="33" t="s">
        <v>18</v>
      </c>
      <c r="G53" s="30" t="s">
        <v>121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1">
        <v>46039.0</v>
      </c>
      <c r="B54" s="20" t="s">
        <v>89</v>
      </c>
      <c r="C54" s="23" t="s">
        <v>20</v>
      </c>
      <c r="D54" s="22">
        <v>480.0</v>
      </c>
      <c r="E54" s="32" t="s">
        <v>16</v>
      </c>
      <c r="F54" s="23" t="s">
        <v>18</v>
      </c>
      <c r="G54" s="24" t="s">
        <v>122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9">
        <v>46040.0</v>
      </c>
      <c r="B55" s="25" t="s">
        <v>36</v>
      </c>
      <c r="C55" s="35" t="s">
        <v>9</v>
      </c>
      <c r="D55" s="27">
        <v>900.0</v>
      </c>
      <c r="E55" s="33" t="s">
        <v>16</v>
      </c>
      <c r="F55" s="33" t="s">
        <v>10</v>
      </c>
      <c r="G55" s="30" t="s">
        <v>123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1">
        <v>46040.0</v>
      </c>
      <c r="B56" s="20" t="s">
        <v>124</v>
      </c>
      <c r="C56" s="23" t="s">
        <v>9</v>
      </c>
      <c r="D56" s="22">
        <v>900.0</v>
      </c>
      <c r="E56" s="23" t="s">
        <v>16</v>
      </c>
      <c r="F56" s="32" t="s">
        <v>10</v>
      </c>
      <c r="G56" s="24" t="s">
        <v>125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9">
        <v>46040.0</v>
      </c>
      <c r="B57" s="25" t="s">
        <v>126</v>
      </c>
      <c r="C57" s="35" t="s">
        <v>20</v>
      </c>
      <c r="D57" s="27">
        <v>180.0</v>
      </c>
      <c r="E57" s="33" t="s">
        <v>16</v>
      </c>
      <c r="F57" s="33" t="s">
        <v>18</v>
      </c>
      <c r="G57" s="30" t="s">
        <v>127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1">
        <v>46041.0</v>
      </c>
      <c r="B58" s="20" t="s">
        <v>128</v>
      </c>
      <c r="C58" s="21" t="s">
        <v>9</v>
      </c>
      <c r="D58" s="22">
        <v>40.0</v>
      </c>
      <c r="E58" s="23" t="s">
        <v>19</v>
      </c>
      <c r="F58" s="23" t="s">
        <v>10</v>
      </c>
      <c r="G58" s="24" t="s">
        <v>115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9">
        <v>46041.0</v>
      </c>
      <c r="B59" s="25" t="s">
        <v>129</v>
      </c>
      <c r="C59" s="33" t="s">
        <v>20</v>
      </c>
      <c r="D59" s="27">
        <v>60.0</v>
      </c>
      <c r="E59" s="33" t="s">
        <v>19</v>
      </c>
      <c r="F59" s="26" t="s">
        <v>18</v>
      </c>
      <c r="G59" s="30" t="s">
        <v>130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1">
        <v>46042.0</v>
      </c>
      <c r="B60" s="20" t="s">
        <v>48</v>
      </c>
      <c r="C60" s="34" t="s">
        <v>9</v>
      </c>
      <c r="D60" s="22">
        <v>190.0</v>
      </c>
      <c r="E60" s="23" t="s">
        <v>16</v>
      </c>
      <c r="F60" s="23" t="s">
        <v>10</v>
      </c>
      <c r="G60" s="24" t="s">
        <v>131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9">
        <v>46042.0</v>
      </c>
      <c r="B61" s="25" t="s">
        <v>38</v>
      </c>
      <c r="C61" s="35" t="s">
        <v>20</v>
      </c>
      <c r="D61" s="27">
        <v>260.0</v>
      </c>
      <c r="E61" s="33" t="s">
        <v>16</v>
      </c>
      <c r="F61" s="33" t="s">
        <v>18</v>
      </c>
      <c r="G61" s="37" t="s">
        <v>132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1">
        <v>46043.0</v>
      </c>
      <c r="B62" s="20" t="s">
        <v>52</v>
      </c>
      <c r="C62" s="23" t="s">
        <v>9</v>
      </c>
      <c r="D62" s="22">
        <v>320.0</v>
      </c>
      <c r="E62" s="23" t="s">
        <v>16</v>
      </c>
      <c r="F62" s="32" t="s">
        <v>10</v>
      </c>
      <c r="G62" s="24" t="s">
        <v>133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9">
        <v>46043.0</v>
      </c>
      <c r="B63" s="25" t="s">
        <v>134</v>
      </c>
      <c r="C63" s="35" t="s">
        <v>20</v>
      </c>
      <c r="D63" s="27">
        <v>500.0</v>
      </c>
      <c r="E63" s="26" t="s">
        <v>19</v>
      </c>
      <c r="F63" s="33" t="s">
        <v>18</v>
      </c>
      <c r="G63" s="30" t="s">
        <v>135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1">
        <v>46044.0</v>
      </c>
      <c r="B64" s="20" t="s">
        <v>136</v>
      </c>
      <c r="C64" s="23" t="s">
        <v>17</v>
      </c>
      <c r="D64" s="22">
        <v>600.0</v>
      </c>
      <c r="E64" s="23" t="s">
        <v>16</v>
      </c>
      <c r="F64" s="32" t="s">
        <v>18</v>
      </c>
      <c r="G64" s="24" t="s">
        <v>137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9">
        <v>46044.0</v>
      </c>
      <c r="B65" s="25" t="s">
        <v>138</v>
      </c>
      <c r="C65" s="33" t="s">
        <v>9</v>
      </c>
      <c r="D65" s="27">
        <v>250.0</v>
      </c>
      <c r="E65" s="33" t="s">
        <v>16</v>
      </c>
      <c r="F65" s="26" t="s">
        <v>10</v>
      </c>
      <c r="G65" s="30" t="s">
        <v>139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1">
        <v>46045.0</v>
      </c>
      <c r="B66" s="20" t="s">
        <v>81</v>
      </c>
      <c r="C66" s="21" t="s">
        <v>9</v>
      </c>
      <c r="D66" s="22">
        <v>700.0</v>
      </c>
      <c r="E66" s="23" t="s">
        <v>14</v>
      </c>
      <c r="F66" s="23" t="s">
        <v>10</v>
      </c>
      <c r="G66" s="24" t="s">
        <v>82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19">
        <v>46045.0</v>
      </c>
      <c r="B67" s="25" t="s">
        <v>32</v>
      </c>
      <c r="C67" s="33" t="s">
        <v>20</v>
      </c>
      <c r="D67" s="27">
        <v>340.0</v>
      </c>
      <c r="E67" s="33" t="s">
        <v>16</v>
      </c>
      <c r="F67" s="26" t="s">
        <v>18</v>
      </c>
      <c r="G67" s="30" t="s">
        <v>140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1">
        <v>46046.0</v>
      </c>
      <c r="B68" s="20" t="s">
        <v>141</v>
      </c>
      <c r="C68" s="23" t="s">
        <v>20</v>
      </c>
      <c r="D68" s="22">
        <v>1500.0</v>
      </c>
      <c r="E68" s="23" t="s">
        <v>11</v>
      </c>
      <c r="F68" s="32" t="s">
        <v>18</v>
      </c>
      <c r="G68" s="24" t="s">
        <v>142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19">
        <v>46046.0</v>
      </c>
      <c r="B69" s="25" t="s">
        <v>143</v>
      </c>
      <c r="C69" s="35" t="s">
        <v>20</v>
      </c>
      <c r="D69" s="27">
        <v>900.0</v>
      </c>
      <c r="E69" s="33" t="s">
        <v>11</v>
      </c>
      <c r="F69" s="33" t="s">
        <v>18</v>
      </c>
      <c r="G69" s="30" t="s">
        <v>144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1">
        <v>46046.0</v>
      </c>
      <c r="B70" s="20" t="s">
        <v>145</v>
      </c>
      <c r="C70" s="21" t="s">
        <v>9</v>
      </c>
      <c r="D70" s="22">
        <v>350.0</v>
      </c>
      <c r="E70" s="23" t="s">
        <v>16</v>
      </c>
      <c r="F70" s="23" t="s">
        <v>10</v>
      </c>
      <c r="G70" s="24" t="s">
        <v>146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19">
        <v>46047.0</v>
      </c>
      <c r="B71" s="25" t="s">
        <v>92</v>
      </c>
      <c r="C71" s="33" t="s">
        <v>9</v>
      </c>
      <c r="D71" s="27">
        <v>800.0</v>
      </c>
      <c r="E71" s="33" t="s">
        <v>19</v>
      </c>
      <c r="F71" s="26" t="s">
        <v>10</v>
      </c>
      <c r="G71" s="30" t="s">
        <v>93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1">
        <v>46047.0</v>
      </c>
      <c r="B72" s="20" t="s">
        <v>147</v>
      </c>
      <c r="C72" s="34" t="s">
        <v>9</v>
      </c>
      <c r="D72" s="22">
        <v>200.0</v>
      </c>
      <c r="E72" s="23" t="s">
        <v>16</v>
      </c>
      <c r="F72" s="23" t="s">
        <v>10</v>
      </c>
      <c r="G72" s="24" t="s">
        <v>148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19">
        <v>46048.0</v>
      </c>
      <c r="B73" s="25" t="s">
        <v>149</v>
      </c>
      <c r="C73" s="35" t="s">
        <v>20</v>
      </c>
      <c r="D73" s="27">
        <v>650.0</v>
      </c>
      <c r="E73" s="33" t="s">
        <v>16</v>
      </c>
      <c r="F73" s="33" t="s">
        <v>18</v>
      </c>
      <c r="G73" s="30" t="s">
        <v>150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1">
        <v>46048.0</v>
      </c>
      <c r="B74" s="20" t="s">
        <v>151</v>
      </c>
      <c r="C74" s="21" t="s">
        <v>20</v>
      </c>
      <c r="D74" s="22">
        <v>1800.0</v>
      </c>
      <c r="E74" s="23" t="s">
        <v>11</v>
      </c>
      <c r="F74" s="23" t="s">
        <v>18</v>
      </c>
      <c r="G74" s="24" t="s">
        <v>152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19">
        <v>46049.0</v>
      </c>
      <c r="B75" s="25" t="s">
        <v>153</v>
      </c>
      <c r="C75" s="35" t="s">
        <v>9</v>
      </c>
      <c r="D75" s="27">
        <v>200.0</v>
      </c>
      <c r="E75" s="33" t="s">
        <v>16</v>
      </c>
      <c r="F75" s="33" t="s">
        <v>10</v>
      </c>
      <c r="G75" s="30" t="s">
        <v>154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1">
        <v>46049.0</v>
      </c>
      <c r="B76" s="20" t="s">
        <v>40</v>
      </c>
      <c r="C76" s="34" t="s">
        <v>20</v>
      </c>
      <c r="D76" s="22">
        <v>30.0</v>
      </c>
      <c r="E76" s="32" t="s">
        <v>19</v>
      </c>
      <c r="F76" s="23" t="s">
        <v>18</v>
      </c>
      <c r="G76" s="24" t="s">
        <v>155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19">
        <v>46050.0</v>
      </c>
      <c r="B77" s="25" t="s">
        <v>52</v>
      </c>
      <c r="C77" s="33" t="s">
        <v>9</v>
      </c>
      <c r="D77" s="27">
        <v>290.0</v>
      </c>
      <c r="E77" s="26" t="s">
        <v>16</v>
      </c>
      <c r="F77" s="26" t="s">
        <v>10</v>
      </c>
      <c r="G77" s="37" t="s">
        <v>156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1">
        <v>46050.0</v>
      </c>
      <c r="B78" s="20" t="s">
        <v>38</v>
      </c>
      <c r="C78" s="23" t="s">
        <v>20</v>
      </c>
      <c r="D78" s="22">
        <v>230.0</v>
      </c>
      <c r="E78" s="32" t="s">
        <v>16</v>
      </c>
      <c r="F78" s="32" t="s">
        <v>18</v>
      </c>
      <c r="G78" s="24" t="s">
        <v>157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19">
        <v>46051.0</v>
      </c>
      <c r="B79" s="25" t="s">
        <v>158</v>
      </c>
      <c r="C79" s="28" t="s">
        <v>9</v>
      </c>
      <c r="D79" s="27">
        <v>350.0</v>
      </c>
      <c r="E79" s="26" t="s">
        <v>19</v>
      </c>
      <c r="F79" s="33" t="s">
        <v>10</v>
      </c>
      <c r="G79" s="30" t="s">
        <v>159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1">
        <v>46051.0</v>
      </c>
      <c r="B80" s="20" t="s">
        <v>160</v>
      </c>
      <c r="C80" s="34" t="s">
        <v>9</v>
      </c>
      <c r="D80" s="22">
        <v>50.0</v>
      </c>
      <c r="E80" s="23" t="s">
        <v>19</v>
      </c>
      <c r="F80" s="23" t="s">
        <v>10</v>
      </c>
      <c r="G80" s="24" t="s">
        <v>74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19">
        <v>46052.0</v>
      </c>
      <c r="B81" s="25" t="s">
        <v>145</v>
      </c>
      <c r="C81" s="35" t="s">
        <v>9</v>
      </c>
      <c r="D81" s="27">
        <v>170.0</v>
      </c>
      <c r="E81" s="33" t="s">
        <v>16</v>
      </c>
      <c r="F81" s="33" t="s">
        <v>10</v>
      </c>
      <c r="G81" s="30" t="s">
        <v>115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1">
        <v>46052.0</v>
      </c>
      <c r="B82" s="20" t="s">
        <v>161</v>
      </c>
      <c r="C82" s="34" t="s">
        <v>20</v>
      </c>
      <c r="D82" s="22">
        <v>120.0</v>
      </c>
      <c r="E82" s="23" t="s">
        <v>19</v>
      </c>
      <c r="F82" s="32" t="s">
        <v>18</v>
      </c>
      <c r="G82" s="24" t="s">
        <v>162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19">
        <v>46053.0</v>
      </c>
      <c r="B83" s="25" t="s">
        <v>32</v>
      </c>
      <c r="C83" s="28" t="s">
        <v>20</v>
      </c>
      <c r="D83" s="27">
        <v>300.0</v>
      </c>
      <c r="E83" s="26" t="s">
        <v>16</v>
      </c>
      <c r="F83" s="26" t="s">
        <v>18</v>
      </c>
      <c r="G83" s="30" t="s">
        <v>163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1">
        <v>46053.0</v>
      </c>
      <c r="B84" s="20" t="s">
        <v>164</v>
      </c>
      <c r="C84" s="21" t="s">
        <v>20</v>
      </c>
      <c r="D84" s="22">
        <v>50.0</v>
      </c>
      <c r="E84" s="32" t="s">
        <v>19</v>
      </c>
      <c r="F84" s="23" t="s">
        <v>18</v>
      </c>
      <c r="G84" s="24" t="s">
        <v>165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19">
        <v>46054.0</v>
      </c>
      <c r="B85" s="25" t="s">
        <v>34</v>
      </c>
      <c r="C85" s="26" t="s">
        <v>9</v>
      </c>
      <c r="D85" s="38">
        <v>12000.0</v>
      </c>
      <c r="E85" s="28" t="s">
        <v>21</v>
      </c>
      <c r="F85" s="29" t="s">
        <v>10</v>
      </c>
      <c r="G85" s="30" t="s">
        <v>35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1">
        <v>46054.0</v>
      </c>
      <c r="B86" s="20" t="s">
        <v>36</v>
      </c>
      <c r="C86" s="23" t="s">
        <v>9</v>
      </c>
      <c r="D86" s="39">
        <v>1500.0</v>
      </c>
      <c r="E86" s="34" t="s">
        <v>16</v>
      </c>
      <c r="F86" s="32" t="s">
        <v>10</v>
      </c>
      <c r="G86" s="24" t="s">
        <v>37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19">
        <v>46054.0</v>
      </c>
      <c r="B87" s="25" t="s">
        <v>40</v>
      </c>
      <c r="C87" s="28" t="s">
        <v>20</v>
      </c>
      <c r="D87" s="27">
        <v>30.0</v>
      </c>
      <c r="E87" s="33" t="s">
        <v>19</v>
      </c>
      <c r="F87" s="33" t="s">
        <v>18</v>
      </c>
      <c r="G87" s="30" t="s">
        <v>102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1">
        <v>46055.0</v>
      </c>
      <c r="B88" s="20" t="s">
        <v>56</v>
      </c>
      <c r="C88" s="23" t="s">
        <v>9</v>
      </c>
      <c r="D88" s="22">
        <v>500.0</v>
      </c>
      <c r="E88" s="23" t="s">
        <v>16</v>
      </c>
      <c r="F88" s="32" t="s">
        <v>10</v>
      </c>
      <c r="G88" s="24" t="s">
        <v>166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19">
        <v>46055.0</v>
      </c>
      <c r="B89" s="25" t="s">
        <v>58</v>
      </c>
      <c r="C89" s="33" t="s">
        <v>9</v>
      </c>
      <c r="D89" s="27">
        <v>299.0</v>
      </c>
      <c r="E89" s="33" t="s">
        <v>16</v>
      </c>
      <c r="F89" s="26" t="s">
        <v>10</v>
      </c>
      <c r="G89" s="30" t="s">
        <v>59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1">
        <v>46055.0</v>
      </c>
      <c r="B90" s="20" t="s">
        <v>38</v>
      </c>
      <c r="C90" s="23" t="s">
        <v>20</v>
      </c>
      <c r="D90" s="22">
        <v>280.0</v>
      </c>
      <c r="E90" s="32" t="s">
        <v>16</v>
      </c>
      <c r="F90" s="32" t="s">
        <v>18</v>
      </c>
      <c r="G90" s="24" t="s">
        <v>132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19">
        <v>46056.0</v>
      </c>
      <c r="B91" s="25" t="s">
        <v>63</v>
      </c>
      <c r="C91" s="35" t="s">
        <v>15</v>
      </c>
      <c r="D91" s="27">
        <v>1500.0</v>
      </c>
      <c r="E91" s="33" t="s">
        <v>14</v>
      </c>
      <c r="F91" s="33" t="s">
        <v>10</v>
      </c>
      <c r="G91" s="30" t="s">
        <v>64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1">
        <v>46056.0</v>
      </c>
      <c r="B92" s="20" t="s">
        <v>65</v>
      </c>
      <c r="C92" s="23" t="s">
        <v>9</v>
      </c>
      <c r="D92" s="22">
        <v>180.0</v>
      </c>
      <c r="E92" s="23" t="s">
        <v>16</v>
      </c>
      <c r="F92" s="32" t="s">
        <v>10</v>
      </c>
      <c r="G92" s="24" t="s">
        <v>167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19">
        <v>46056.0</v>
      </c>
      <c r="B93" s="25" t="s">
        <v>85</v>
      </c>
      <c r="C93" s="33" t="s">
        <v>20</v>
      </c>
      <c r="D93" s="27">
        <v>50.0</v>
      </c>
      <c r="E93" s="33" t="s">
        <v>19</v>
      </c>
      <c r="F93" s="26" t="s">
        <v>18</v>
      </c>
      <c r="G93" s="30" t="s">
        <v>168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1">
        <v>46057.0</v>
      </c>
      <c r="B94" s="20" t="s">
        <v>68</v>
      </c>
      <c r="C94" s="21" t="s">
        <v>20</v>
      </c>
      <c r="D94" s="22">
        <v>199.0</v>
      </c>
      <c r="E94" s="23" t="s">
        <v>11</v>
      </c>
      <c r="F94" s="23" t="s">
        <v>18</v>
      </c>
      <c r="G94" s="24" t="s">
        <v>69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19">
        <v>46057.0</v>
      </c>
      <c r="B95" s="25" t="s">
        <v>52</v>
      </c>
      <c r="C95" s="35" t="s">
        <v>9</v>
      </c>
      <c r="D95" s="27">
        <v>380.0</v>
      </c>
      <c r="E95" s="33" t="s">
        <v>16</v>
      </c>
      <c r="F95" s="33" t="s">
        <v>10</v>
      </c>
      <c r="G95" s="30" t="s">
        <v>169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0">
        <v>46057.0</v>
      </c>
      <c r="B96" s="41" t="s">
        <v>161</v>
      </c>
      <c r="C96" s="42" t="s">
        <v>20</v>
      </c>
      <c r="D96" s="43">
        <v>120.0</v>
      </c>
      <c r="E96" s="44" t="s">
        <v>19</v>
      </c>
      <c r="F96" s="45" t="s">
        <v>18</v>
      </c>
      <c r="G96" s="46" t="s">
        <v>162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7">
        <v>46058.0</v>
      </c>
      <c r="B97" s="48" t="s">
        <v>75</v>
      </c>
      <c r="C97" s="49" t="s">
        <v>9</v>
      </c>
      <c r="D97" s="50">
        <v>1300.0</v>
      </c>
      <c r="E97" s="51" t="s">
        <v>16</v>
      </c>
      <c r="F97" s="52" t="s">
        <v>10</v>
      </c>
      <c r="G97" s="48" t="s">
        <v>170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7">
        <v>46058.0</v>
      </c>
      <c r="B98" s="48" t="s">
        <v>171</v>
      </c>
      <c r="C98" s="49" t="s">
        <v>17</v>
      </c>
      <c r="D98" s="50">
        <v>1100.0</v>
      </c>
      <c r="E98" s="51" t="s">
        <v>16</v>
      </c>
      <c r="F98" s="52" t="s">
        <v>18</v>
      </c>
      <c r="G98" s="48" t="s">
        <v>172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7">
        <v>46058.0</v>
      </c>
      <c r="B99" s="48" t="s">
        <v>138</v>
      </c>
      <c r="C99" s="49" t="s">
        <v>9</v>
      </c>
      <c r="D99" s="50">
        <v>280.0</v>
      </c>
      <c r="E99" s="51" t="s">
        <v>16</v>
      </c>
      <c r="F99" s="52" t="s">
        <v>10</v>
      </c>
      <c r="G99" s="48" t="s">
        <v>173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7">
        <v>46059.0</v>
      </c>
      <c r="B100" s="48" t="s">
        <v>81</v>
      </c>
      <c r="C100" s="49" t="s">
        <v>9</v>
      </c>
      <c r="D100" s="50">
        <v>800.0</v>
      </c>
      <c r="E100" s="51" t="s">
        <v>14</v>
      </c>
      <c r="F100" s="52" t="s">
        <v>10</v>
      </c>
      <c r="G100" s="48" t="s">
        <v>82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7">
        <v>46059.0</v>
      </c>
      <c r="B101" s="48" t="s">
        <v>174</v>
      </c>
      <c r="C101" s="49" t="s">
        <v>20</v>
      </c>
      <c r="D101" s="50">
        <v>300.0</v>
      </c>
      <c r="E101" s="51" t="s">
        <v>16</v>
      </c>
      <c r="F101" s="52" t="s">
        <v>18</v>
      </c>
      <c r="G101" s="48" t="s">
        <v>175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7">
        <v>46059.0</v>
      </c>
      <c r="B102" s="48" t="s">
        <v>89</v>
      </c>
      <c r="C102" s="49" t="s">
        <v>20</v>
      </c>
      <c r="D102" s="50">
        <v>450.0</v>
      </c>
      <c r="E102" s="51" t="s">
        <v>16</v>
      </c>
      <c r="F102" s="52" t="s">
        <v>18</v>
      </c>
      <c r="G102" s="48" t="s">
        <v>176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7">
        <v>46060.0</v>
      </c>
      <c r="B103" s="48" t="s">
        <v>110</v>
      </c>
      <c r="C103" s="49" t="s">
        <v>12</v>
      </c>
      <c r="D103" s="50">
        <v>3000.0</v>
      </c>
      <c r="E103" s="51" t="s">
        <v>21</v>
      </c>
      <c r="F103" s="52" t="s">
        <v>13</v>
      </c>
      <c r="G103" s="48" t="s">
        <v>177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7">
        <v>46060.0</v>
      </c>
      <c r="B104" s="48" t="s">
        <v>178</v>
      </c>
      <c r="C104" s="49" t="s">
        <v>20</v>
      </c>
      <c r="D104" s="50">
        <v>850.0</v>
      </c>
      <c r="E104" s="51" t="s">
        <v>16</v>
      </c>
      <c r="F104" s="52" t="s">
        <v>18</v>
      </c>
      <c r="G104" s="48" t="s">
        <v>45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7">
        <v>46060.0</v>
      </c>
      <c r="B105" s="48" t="s">
        <v>179</v>
      </c>
      <c r="C105" s="49" t="s">
        <v>20</v>
      </c>
      <c r="D105" s="50">
        <v>1500.0</v>
      </c>
      <c r="E105" s="51" t="s">
        <v>11</v>
      </c>
      <c r="F105" s="52" t="s">
        <v>18</v>
      </c>
      <c r="G105" s="48" t="s">
        <v>180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7">
        <v>46060.0</v>
      </c>
      <c r="B106" s="48" t="s">
        <v>48</v>
      </c>
      <c r="C106" s="49" t="s">
        <v>9</v>
      </c>
      <c r="D106" s="50">
        <v>300.0</v>
      </c>
      <c r="E106" s="51" t="s">
        <v>16</v>
      </c>
      <c r="F106" s="52" t="s">
        <v>10</v>
      </c>
      <c r="G106" s="48" t="s">
        <v>181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7">
        <v>46061.0</v>
      </c>
      <c r="B107" s="48" t="s">
        <v>92</v>
      </c>
      <c r="C107" s="49" t="s">
        <v>9</v>
      </c>
      <c r="D107" s="50">
        <v>1100.0</v>
      </c>
      <c r="E107" s="51" t="s">
        <v>19</v>
      </c>
      <c r="F107" s="52" t="s">
        <v>10</v>
      </c>
      <c r="G107" s="48" t="s">
        <v>93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7">
        <v>46061.0</v>
      </c>
      <c r="B108" s="48" t="s">
        <v>149</v>
      </c>
      <c r="C108" s="49" t="s">
        <v>20</v>
      </c>
      <c r="D108" s="50">
        <v>600.0</v>
      </c>
      <c r="E108" s="51" t="s">
        <v>16</v>
      </c>
      <c r="F108" s="52" t="s">
        <v>18</v>
      </c>
      <c r="G108" s="48" t="s">
        <v>182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7">
        <v>46061.0</v>
      </c>
      <c r="B109" s="48" t="s">
        <v>147</v>
      </c>
      <c r="C109" s="49" t="s">
        <v>9</v>
      </c>
      <c r="D109" s="50">
        <v>200.0</v>
      </c>
      <c r="E109" s="51" t="s">
        <v>16</v>
      </c>
      <c r="F109" s="52" t="s">
        <v>10</v>
      </c>
      <c r="G109" s="48" t="s">
        <v>148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7">
        <v>46062.0</v>
      </c>
      <c r="B110" s="48" t="s">
        <v>128</v>
      </c>
      <c r="C110" s="49" t="s">
        <v>9</v>
      </c>
      <c r="D110" s="50">
        <v>40.0</v>
      </c>
      <c r="E110" s="51" t="s">
        <v>19</v>
      </c>
      <c r="F110" s="52" t="s">
        <v>10</v>
      </c>
      <c r="G110" s="48" t="s">
        <v>115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7">
        <v>46062.0</v>
      </c>
      <c r="B111" s="48" t="s">
        <v>38</v>
      </c>
      <c r="C111" s="49" t="s">
        <v>20</v>
      </c>
      <c r="D111" s="50">
        <v>250.0</v>
      </c>
      <c r="E111" s="51" t="s">
        <v>16</v>
      </c>
      <c r="F111" s="52" t="s">
        <v>18</v>
      </c>
      <c r="G111" s="48" t="s">
        <v>183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7">
        <v>46062.0</v>
      </c>
      <c r="B112" s="48" t="s">
        <v>40</v>
      </c>
      <c r="C112" s="49" t="s">
        <v>20</v>
      </c>
      <c r="D112" s="50">
        <v>30.0</v>
      </c>
      <c r="E112" s="51" t="s">
        <v>19</v>
      </c>
      <c r="F112" s="52" t="s">
        <v>18</v>
      </c>
      <c r="G112" s="48" t="s">
        <v>41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7">
        <v>46063.0</v>
      </c>
      <c r="B113" s="48" t="s">
        <v>100</v>
      </c>
      <c r="C113" s="49" t="s">
        <v>9</v>
      </c>
      <c r="D113" s="50">
        <v>799.0</v>
      </c>
      <c r="E113" s="51" t="s">
        <v>16</v>
      </c>
      <c r="F113" s="52" t="s">
        <v>10</v>
      </c>
      <c r="G113" s="48" t="s">
        <v>101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7">
        <v>46063.0</v>
      </c>
      <c r="B114" s="48" t="s">
        <v>184</v>
      </c>
      <c r="C114" s="49" t="s">
        <v>15</v>
      </c>
      <c r="D114" s="50">
        <v>350.0</v>
      </c>
      <c r="E114" s="51" t="s">
        <v>16</v>
      </c>
      <c r="F114" s="52" t="s">
        <v>10</v>
      </c>
      <c r="G114" s="48" t="s">
        <v>185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7">
        <v>46063.0</v>
      </c>
      <c r="B115" s="48" t="s">
        <v>145</v>
      </c>
      <c r="C115" s="49" t="s">
        <v>9</v>
      </c>
      <c r="D115" s="50">
        <v>170.0</v>
      </c>
      <c r="E115" s="51" t="s">
        <v>16</v>
      </c>
      <c r="F115" s="52" t="s">
        <v>10</v>
      </c>
      <c r="G115" s="48" t="s">
        <v>115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7">
        <v>46064.0</v>
      </c>
      <c r="B116" s="48" t="s">
        <v>52</v>
      </c>
      <c r="C116" s="49" t="s">
        <v>9</v>
      </c>
      <c r="D116" s="50">
        <v>290.0</v>
      </c>
      <c r="E116" s="51" t="s">
        <v>16</v>
      </c>
      <c r="F116" s="52" t="s">
        <v>10</v>
      </c>
      <c r="G116" s="48" t="s">
        <v>133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7">
        <v>46064.0</v>
      </c>
      <c r="B117" s="48" t="s">
        <v>186</v>
      </c>
      <c r="C117" s="49" t="s">
        <v>17</v>
      </c>
      <c r="D117" s="50">
        <v>400.0</v>
      </c>
      <c r="E117" s="51" t="s">
        <v>16</v>
      </c>
      <c r="F117" s="52" t="s">
        <v>18</v>
      </c>
      <c r="G117" s="48" t="s">
        <v>187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7">
        <v>46065.0</v>
      </c>
      <c r="B118" s="48" t="s">
        <v>32</v>
      </c>
      <c r="C118" s="49" t="s">
        <v>20</v>
      </c>
      <c r="D118" s="50">
        <v>320.0</v>
      </c>
      <c r="E118" s="51" t="s">
        <v>16</v>
      </c>
      <c r="F118" s="52" t="s">
        <v>18</v>
      </c>
      <c r="G118" s="48" t="s">
        <v>188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7">
        <v>46065.0</v>
      </c>
      <c r="B119" s="48" t="s">
        <v>158</v>
      </c>
      <c r="C119" s="49" t="s">
        <v>9</v>
      </c>
      <c r="D119" s="50">
        <v>250.0</v>
      </c>
      <c r="E119" s="51" t="s">
        <v>19</v>
      </c>
      <c r="F119" s="52" t="s">
        <v>10</v>
      </c>
      <c r="G119" s="48" t="s">
        <v>189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7">
        <v>46065.0</v>
      </c>
      <c r="B120" s="48" t="s">
        <v>70</v>
      </c>
      <c r="C120" s="49" t="s">
        <v>20</v>
      </c>
      <c r="D120" s="50">
        <v>119.0</v>
      </c>
      <c r="E120" s="51" t="s">
        <v>11</v>
      </c>
      <c r="F120" s="52" t="s">
        <v>18</v>
      </c>
      <c r="G120" s="48" t="s">
        <v>69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7">
        <v>46066.0</v>
      </c>
      <c r="B121" s="48" t="s">
        <v>190</v>
      </c>
      <c r="C121" s="49" t="s">
        <v>17</v>
      </c>
      <c r="D121" s="50">
        <v>2200.0</v>
      </c>
      <c r="E121" s="51" t="s">
        <v>11</v>
      </c>
      <c r="F121" s="52" t="s">
        <v>18</v>
      </c>
      <c r="G121" s="48" t="s">
        <v>191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7">
        <v>46066.0</v>
      </c>
      <c r="B122" s="48" t="s">
        <v>192</v>
      </c>
      <c r="C122" s="49" t="s">
        <v>17</v>
      </c>
      <c r="D122" s="50">
        <v>500.0</v>
      </c>
      <c r="E122" s="51" t="s">
        <v>16</v>
      </c>
      <c r="F122" s="52" t="s">
        <v>18</v>
      </c>
      <c r="G122" s="48" t="s">
        <v>193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7">
        <v>46066.0</v>
      </c>
      <c r="B123" s="48" t="s">
        <v>194</v>
      </c>
      <c r="C123" s="49" t="s">
        <v>20</v>
      </c>
      <c r="D123" s="50">
        <v>300.0</v>
      </c>
      <c r="E123" s="51" t="s">
        <v>19</v>
      </c>
      <c r="F123" s="52" t="s">
        <v>18</v>
      </c>
      <c r="G123" s="48" t="s">
        <v>195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7">
        <v>46067.0</v>
      </c>
      <c r="B124" s="48" t="s">
        <v>196</v>
      </c>
      <c r="C124" s="49" t="s">
        <v>17</v>
      </c>
      <c r="D124" s="50">
        <v>3500.0</v>
      </c>
      <c r="E124" s="51" t="s">
        <v>11</v>
      </c>
      <c r="F124" s="52" t="s">
        <v>18</v>
      </c>
      <c r="G124" s="48" t="s">
        <v>197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7">
        <v>46067.0</v>
      </c>
      <c r="B125" s="48" t="s">
        <v>48</v>
      </c>
      <c r="C125" s="49" t="s">
        <v>9</v>
      </c>
      <c r="D125" s="50">
        <v>400.0</v>
      </c>
      <c r="E125" s="51" t="s">
        <v>16</v>
      </c>
      <c r="F125" s="52" t="s">
        <v>10</v>
      </c>
      <c r="G125" s="48" t="s">
        <v>198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7">
        <v>46067.0</v>
      </c>
      <c r="B126" s="48" t="s">
        <v>199</v>
      </c>
      <c r="C126" s="49" t="s">
        <v>20</v>
      </c>
      <c r="D126" s="50">
        <v>350.0</v>
      </c>
      <c r="E126" s="51" t="s">
        <v>16</v>
      </c>
      <c r="F126" s="52" t="s">
        <v>18</v>
      </c>
      <c r="G126" s="48" t="s">
        <v>200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7">
        <v>46068.0</v>
      </c>
      <c r="B127" s="48" t="s">
        <v>201</v>
      </c>
      <c r="C127" s="49" t="s">
        <v>12</v>
      </c>
      <c r="D127" s="50">
        <v>2000.0</v>
      </c>
      <c r="E127" s="51" t="s">
        <v>21</v>
      </c>
      <c r="F127" s="52" t="s">
        <v>13</v>
      </c>
      <c r="G127" s="48" t="s">
        <v>202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7">
        <v>46068.0</v>
      </c>
      <c r="B128" s="48" t="s">
        <v>36</v>
      </c>
      <c r="C128" s="49" t="s">
        <v>9</v>
      </c>
      <c r="D128" s="50">
        <v>850.0</v>
      </c>
      <c r="E128" s="51" t="s">
        <v>16</v>
      </c>
      <c r="F128" s="52" t="s">
        <v>10</v>
      </c>
      <c r="G128" s="48" t="s">
        <v>123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7">
        <v>46068.0</v>
      </c>
      <c r="B129" s="48" t="s">
        <v>32</v>
      </c>
      <c r="C129" s="49" t="s">
        <v>20</v>
      </c>
      <c r="D129" s="50">
        <v>300.0</v>
      </c>
      <c r="E129" s="51" t="s">
        <v>16</v>
      </c>
      <c r="F129" s="52" t="s">
        <v>18</v>
      </c>
      <c r="G129" s="48" t="s">
        <v>51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7">
        <v>46069.0</v>
      </c>
      <c r="B130" s="48" t="s">
        <v>104</v>
      </c>
      <c r="C130" s="49" t="s">
        <v>9</v>
      </c>
      <c r="D130" s="50">
        <v>200.0</v>
      </c>
      <c r="E130" s="51" t="s">
        <v>16</v>
      </c>
      <c r="F130" s="52" t="s">
        <v>10</v>
      </c>
      <c r="G130" s="48" t="s">
        <v>105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7">
        <v>46069.0</v>
      </c>
      <c r="B131" s="48" t="s">
        <v>129</v>
      </c>
      <c r="C131" s="49" t="s">
        <v>20</v>
      </c>
      <c r="D131" s="50">
        <v>60.0</v>
      </c>
      <c r="E131" s="51" t="s">
        <v>19</v>
      </c>
      <c r="F131" s="52" t="s">
        <v>18</v>
      </c>
      <c r="G131" s="48" t="s">
        <v>203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7">
        <v>46070.0</v>
      </c>
      <c r="B132" s="48" t="s">
        <v>48</v>
      </c>
      <c r="C132" s="49" t="s">
        <v>9</v>
      </c>
      <c r="D132" s="50">
        <v>200.0</v>
      </c>
      <c r="E132" s="51" t="s">
        <v>16</v>
      </c>
      <c r="F132" s="52" t="s">
        <v>10</v>
      </c>
      <c r="G132" s="48" t="s">
        <v>115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7">
        <v>46070.0</v>
      </c>
      <c r="B133" s="48" t="s">
        <v>38</v>
      </c>
      <c r="C133" s="49" t="s">
        <v>20</v>
      </c>
      <c r="D133" s="50">
        <v>270.0</v>
      </c>
      <c r="E133" s="51" t="s">
        <v>16</v>
      </c>
      <c r="F133" s="52" t="s">
        <v>18</v>
      </c>
      <c r="G133" s="48" t="s">
        <v>204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7">
        <v>46071.0</v>
      </c>
      <c r="B134" s="48" t="s">
        <v>52</v>
      </c>
      <c r="C134" s="49" t="s">
        <v>9</v>
      </c>
      <c r="D134" s="50">
        <v>350.0</v>
      </c>
      <c r="E134" s="51" t="s">
        <v>16</v>
      </c>
      <c r="F134" s="52" t="s">
        <v>10</v>
      </c>
      <c r="G134" s="48" t="s">
        <v>156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7">
        <v>46071.0</v>
      </c>
      <c r="B135" s="48" t="s">
        <v>205</v>
      </c>
      <c r="C135" s="49" t="s">
        <v>9</v>
      </c>
      <c r="D135" s="50">
        <v>80.0</v>
      </c>
      <c r="E135" s="51" t="s">
        <v>19</v>
      </c>
      <c r="F135" s="52" t="s">
        <v>10</v>
      </c>
      <c r="G135" s="48" t="s">
        <v>206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7">
        <v>46072.0</v>
      </c>
      <c r="B136" s="48" t="s">
        <v>207</v>
      </c>
      <c r="C136" s="49" t="s">
        <v>17</v>
      </c>
      <c r="D136" s="50">
        <v>600.0</v>
      </c>
      <c r="E136" s="51" t="s">
        <v>16</v>
      </c>
      <c r="F136" s="52" t="s">
        <v>18</v>
      </c>
      <c r="G136" s="48" t="s">
        <v>208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7">
        <v>46072.0</v>
      </c>
      <c r="B137" s="48" t="s">
        <v>209</v>
      </c>
      <c r="C137" s="49" t="s">
        <v>20</v>
      </c>
      <c r="D137" s="50">
        <v>40.0</v>
      </c>
      <c r="E137" s="51" t="s">
        <v>19</v>
      </c>
      <c r="F137" s="52" t="s">
        <v>18</v>
      </c>
      <c r="G137" s="48" t="s">
        <v>210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7">
        <v>46073.0</v>
      </c>
      <c r="B138" s="48" t="s">
        <v>81</v>
      </c>
      <c r="C138" s="49" t="s">
        <v>9</v>
      </c>
      <c r="D138" s="50">
        <v>700.0</v>
      </c>
      <c r="E138" s="51" t="s">
        <v>14</v>
      </c>
      <c r="F138" s="52" t="s">
        <v>10</v>
      </c>
      <c r="G138" s="48" t="s">
        <v>82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7">
        <v>46073.0</v>
      </c>
      <c r="B139" s="48" t="s">
        <v>113</v>
      </c>
      <c r="C139" s="49" t="s">
        <v>20</v>
      </c>
      <c r="D139" s="50">
        <v>800.0</v>
      </c>
      <c r="E139" s="51" t="s">
        <v>11</v>
      </c>
      <c r="F139" s="52" t="s">
        <v>18</v>
      </c>
      <c r="G139" s="48" t="s">
        <v>211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7">
        <v>46074.0</v>
      </c>
      <c r="B140" s="48" t="s">
        <v>212</v>
      </c>
      <c r="C140" s="49" t="s">
        <v>20</v>
      </c>
      <c r="D140" s="50">
        <v>400.0</v>
      </c>
      <c r="E140" s="51" t="s">
        <v>16</v>
      </c>
      <c r="F140" s="52" t="s">
        <v>18</v>
      </c>
      <c r="G140" s="48" t="s">
        <v>213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7">
        <v>46074.0</v>
      </c>
      <c r="B141" s="48" t="s">
        <v>214</v>
      </c>
      <c r="C141" s="49" t="s">
        <v>9</v>
      </c>
      <c r="D141" s="50">
        <v>500.0</v>
      </c>
      <c r="E141" s="51" t="s">
        <v>11</v>
      </c>
      <c r="F141" s="52" t="s">
        <v>10</v>
      </c>
      <c r="G141" s="48" t="s">
        <v>215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7">
        <v>46075.0</v>
      </c>
      <c r="B142" s="48" t="s">
        <v>92</v>
      </c>
      <c r="C142" s="49" t="s">
        <v>9</v>
      </c>
      <c r="D142" s="50">
        <v>950.0</v>
      </c>
      <c r="E142" s="51" t="s">
        <v>19</v>
      </c>
      <c r="F142" s="52" t="s">
        <v>10</v>
      </c>
      <c r="G142" s="48" t="s">
        <v>93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7">
        <v>46075.0</v>
      </c>
      <c r="B143" s="48" t="s">
        <v>124</v>
      </c>
      <c r="C143" s="49" t="s">
        <v>9</v>
      </c>
      <c r="D143" s="50">
        <v>900.0</v>
      </c>
      <c r="E143" s="51" t="s">
        <v>16</v>
      </c>
      <c r="F143" s="52" t="s">
        <v>10</v>
      </c>
      <c r="G143" s="48" t="s">
        <v>125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7">
        <v>46076.0</v>
      </c>
      <c r="B144" s="48" t="s">
        <v>153</v>
      </c>
      <c r="C144" s="49" t="s">
        <v>9</v>
      </c>
      <c r="D144" s="50">
        <v>200.0</v>
      </c>
      <c r="E144" s="51" t="s">
        <v>16</v>
      </c>
      <c r="F144" s="52" t="s">
        <v>10</v>
      </c>
      <c r="G144" s="48" t="s">
        <v>154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7">
        <v>46076.0</v>
      </c>
      <c r="B145" s="48" t="s">
        <v>216</v>
      </c>
      <c r="C145" s="49" t="s">
        <v>20</v>
      </c>
      <c r="D145" s="50">
        <v>350.0</v>
      </c>
      <c r="E145" s="51" t="s">
        <v>16</v>
      </c>
      <c r="F145" s="52" t="s">
        <v>18</v>
      </c>
      <c r="G145" s="48" t="s">
        <v>217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7">
        <v>46077.0</v>
      </c>
      <c r="B146" s="48" t="s">
        <v>38</v>
      </c>
      <c r="C146" s="49" t="s">
        <v>20</v>
      </c>
      <c r="D146" s="50">
        <v>240.0</v>
      </c>
      <c r="E146" s="51" t="s">
        <v>16</v>
      </c>
      <c r="F146" s="52" t="s">
        <v>18</v>
      </c>
      <c r="G146" s="48" t="s">
        <v>218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7">
        <v>46077.0</v>
      </c>
      <c r="B147" s="48" t="s">
        <v>145</v>
      </c>
      <c r="C147" s="49" t="s">
        <v>9</v>
      </c>
      <c r="D147" s="50">
        <v>160.0</v>
      </c>
      <c r="E147" s="51" t="s">
        <v>16</v>
      </c>
      <c r="F147" s="52" t="s">
        <v>10</v>
      </c>
      <c r="G147" s="48" t="s">
        <v>219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7">
        <v>46078.0</v>
      </c>
      <c r="B148" s="48" t="s">
        <v>52</v>
      </c>
      <c r="C148" s="49" t="s">
        <v>9</v>
      </c>
      <c r="D148" s="50">
        <v>280.0</v>
      </c>
      <c r="E148" s="51" t="s">
        <v>16</v>
      </c>
      <c r="F148" s="52" t="s">
        <v>10</v>
      </c>
      <c r="G148" s="48" t="s">
        <v>220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7">
        <v>46078.0</v>
      </c>
      <c r="B149" s="48" t="s">
        <v>40</v>
      </c>
      <c r="C149" s="49" t="s">
        <v>20</v>
      </c>
      <c r="D149" s="50">
        <v>30.0</v>
      </c>
      <c r="E149" s="51" t="s">
        <v>19</v>
      </c>
      <c r="F149" s="52" t="s">
        <v>18</v>
      </c>
      <c r="G149" s="48" t="s">
        <v>155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7">
        <v>46079.0</v>
      </c>
      <c r="B150" s="48" t="s">
        <v>221</v>
      </c>
      <c r="C150" s="49" t="s">
        <v>20</v>
      </c>
      <c r="D150" s="50">
        <v>1200.0</v>
      </c>
      <c r="E150" s="51" t="s">
        <v>11</v>
      </c>
      <c r="F150" s="52" t="s">
        <v>18</v>
      </c>
      <c r="G150" s="48" t="s">
        <v>222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7">
        <v>46079.0</v>
      </c>
      <c r="B151" s="48" t="s">
        <v>79</v>
      </c>
      <c r="C151" s="49" t="s">
        <v>9</v>
      </c>
      <c r="D151" s="50">
        <v>320.0</v>
      </c>
      <c r="E151" s="51" t="s">
        <v>16</v>
      </c>
      <c r="F151" s="52" t="s">
        <v>10</v>
      </c>
      <c r="G151" s="48" t="s">
        <v>80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7">
        <v>46080.0</v>
      </c>
      <c r="B152" s="48" t="s">
        <v>89</v>
      </c>
      <c r="C152" s="49" t="s">
        <v>20</v>
      </c>
      <c r="D152" s="50">
        <v>400.0</v>
      </c>
      <c r="E152" s="51" t="s">
        <v>16</v>
      </c>
      <c r="F152" s="52" t="s">
        <v>18</v>
      </c>
      <c r="G152" s="48" t="s">
        <v>223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7">
        <v>46080.0</v>
      </c>
      <c r="B153" s="48" t="s">
        <v>224</v>
      </c>
      <c r="C153" s="49" t="s">
        <v>9</v>
      </c>
      <c r="D153" s="50">
        <v>50.0</v>
      </c>
      <c r="E153" s="51" t="s">
        <v>19</v>
      </c>
      <c r="F153" s="52" t="s">
        <v>10</v>
      </c>
      <c r="G153" s="48" t="s">
        <v>225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7">
        <v>46081.0</v>
      </c>
      <c r="B154" s="48" t="s">
        <v>226</v>
      </c>
      <c r="C154" s="49" t="s">
        <v>9</v>
      </c>
      <c r="D154" s="50">
        <v>600.0</v>
      </c>
      <c r="E154" s="51" t="s">
        <v>16</v>
      </c>
      <c r="F154" s="52" t="s">
        <v>10</v>
      </c>
      <c r="G154" s="48" t="s">
        <v>227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7">
        <v>46081.0</v>
      </c>
      <c r="B155" s="48" t="s">
        <v>228</v>
      </c>
      <c r="C155" s="49" t="s">
        <v>20</v>
      </c>
      <c r="D155" s="50">
        <v>200.0</v>
      </c>
      <c r="E155" s="51" t="s">
        <v>16</v>
      </c>
      <c r="F155" s="52" t="s">
        <v>18</v>
      </c>
      <c r="G155" s="48" t="s">
        <v>229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7">
        <v>46081.0</v>
      </c>
      <c r="B156" s="48" t="s">
        <v>160</v>
      </c>
      <c r="C156" s="49" t="s">
        <v>9</v>
      </c>
      <c r="D156" s="50">
        <v>50.0</v>
      </c>
      <c r="E156" s="51" t="s">
        <v>19</v>
      </c>
      <c r="F156" s="52" t="s">
        <v>10</v>
      </c>
      <c r="G156" s="48" t="s">
        <v>74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7">
        <v>46082.0</v>
      </c>
      <c r="B157" s="48" t="s">
        <v>34</v>
      </c>
      <c r="C157" s="49" t="s">
        <v>9</v>
      </c>
      <c r="D157" s="50">
        <v>12000.0</v>
      </c>
      <c r="E157" s="51" t="s">
        <v>21</v>
      </c>
      <c r="F157" s="52" t="s">
        <v>10</v>
      </c>
      <c r="G157" s="48" t="s">
        <v>35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7">
        <v>46082.0</v>
      </c>
      <c r="B158" s="48" t="s">
        <v>36</v>
      </c>
      <c r="C158" s="49" t="s">
        <v>9</v>
      </c>
      <c r="D158" s="50">
        <v>1800.0</v>
      </c>
      <c r="E158" s="51" t="s">
        <v>16</v>
      </c>
      <c r="F158" s="52" t="s">
        <v>10</v>
      </c>
      <c r="G158" s="48" t="s">
        <v>230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7">
        <v>46082.0</v>
      </c>
      <c r="B159" s="48" t="s">
        <v>40</v>
      </c>
      <c r="C159" s="49" t="s">
        <v>20</v>
      </c>
      <c r="D159" s="50">
        <v>30.0</v>
      </c>
      <c r="E159" s="51" t="s">
        <v>19</v>
      </c>
      <c r="F159" s="52" t="s">
        <v>18</v>
      </c>
      <c r="G159" s="48" t="s">
        <v>102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7">
        <v>46082.0</v>
      </c>
      <c r="B160" s="48" t="s">
        <v>38</v>
      </c>
      <c r="C160" s="49" t="s">
        <v>20</v>
      </c>
      <c r="D160" s="50">
        <v>280.0</v>
      </c>
      <c r="E160" s="51" t="s">
        <v>16</v>
      </c>
      <c r="F160" s="52" t="s">
        <v>18</v>
      </c>
      <c r="G160" s="48" t="s">
        <v>122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7">
        <v>46083.0</v>
      </c>
      <c r="B161" s="48" t="s">
        <v>56</v>
      </c>
      <c r="C161" s="49" t="s">
        <v>9</v>
      </c>
      <c r="D161" s="50">
        <v>500.0</v>
      </c>
      <c r="E161" s="51" t="s">
        <v>16</v>
      </c>
      <c r="F161" s="52" t="s">
        <v>10</v>
      </c>
      <c r="G161" s="48" t="s">
        <v>57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7">
        <v>46083.0</v>
      </c>
      <c r="B162" s="48" t="s">
        <v>58</v>
      </c>
      <c r="C162" s="49" t="s">
        <v>9</v>
      </c>
      <c r="D162" s="50">
        <v>299.0</v>
      </c>
      <c r="E162" s="51" t="s">
        <v>16</v>
      </c>
      <c r="F162" s="52" t="s">
        <v>10</v>
      </c>
      <c r="G162" s="48" t="s">
        <v>59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7">
        <v>46083.0</v>
      </c>
      <c r="B163" s="48" t="s">
        <v>85</v>
      </c>
      <c r="C163" s="49" t="s">
        <v>20</v>
      </c>
      <c r="D163" s="50">
        <v>50.0</v>
      </c>
      <c r="E163" s="51" t="s">
        <v>19</v>
      </c>
      <c r="F163" s="52" t="s">
        <v>18</v>
      </c>
      <c r="G163" s="48" t="s">
        <v>231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7">
        <v>46084.0</v>
      </c>
      <c r="B164" s="48" t="s">
        <v>63</v>
      </c>
      <c r="C164" s="49" t="s">
        <v>15</v>
      </c>
      <c r="D164" s="50">
        <v>1500.0</v>
      </c>
      <c r="E164" s="51" t="s">
        <v>14</v>
      </c>
      <c r="F164" s="52" t="s">
        <v>10</v>
      </c>
      <c r="G164" s="48" t="s">
        <v>64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47">
        <v>46084.0</v>
      </c>
      <c r="B165" s="48" t="s">
        <v>65</v>
      </c>
      <c r="C165" s="49" t="s">
        <v>9</v>
      </c>
      <c r="D165" s="50">
        <v>180.0</v>
      </c>
      <c r="E165" s="51" t="s">
        <v>16</v>
      </c>
      <c r="F165" s="52" t="s">
        <v>10</v>
      </c>
      <c r="G165" s="48" t="s">
        <v>232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7">
        <v>46084.0</v>
      </c>
      <c r="B166" s="48" t="s">
        <v>71</v>
      </c>
      <c r="C166" s="49" t="s">
        <v>9</v>
      </c>
      <c r="D166" s="50">
        <v>320.0</v>
      </c>
      <c r="E166" s="51" t="s">
        <v>16</v>
      </c>
      <c r="F166" s="52" t="s">
        <v>10</v>
      </c>
      <c r="G166" s="48" t="s">
        <v>233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7">
        <v>46085.0</v>
      </c>
      <c r="B167" s="48" t="s">
        <v>234</v>
      </c>
      <c r="C167" s="49" t="s">
        <v>20</v>
      </c>
      <c r="D167" s="50">
        <v>199.0</v>
      </c>
      <c r="E167" s="51" t="s">
        <v>11</v>
      </c>
      <c r="F167" s="52" t="s">
        <v>18</v>
      </c>
      <c r="G167" s="48" t="s">
        <v>69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7">
        <v>46085.0</v>
      </c>
      <c r="B168" s="48" t="s">
        <v>67</v>
      </c>
      <c r="C168" s="49" t="s">
        <v>20</v>
      </c>
      <c r="D168" s="50">
        <v>120.0</v>
      </c>
      <c r="E168" s="51" t="s">
        <v>19</v>
      </c>
      <c r="F168" s="52" t="s">
        <v>18</v>
      </c>
      <c r="G168" s="48" t="s">
        <v>39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7">
        <v>46085.0</v>
      </c>
      <c r="B169" s="48" t="s">
        <v>73</v>
      </c>
      <c r="C169" s="49" t="s">
        <v>9</v>
      </c>
      <c r="D169" s="50">
        <v>60.0</v>
      </c>
      <c r="E169" s="51" t="s">
        <v>19</v>
      </c>
      <c r="F169" s="52" t="s">
        <v>10</v>
      </c>
      <c r="G169" s="48" t="s">
        <v>235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7">
        <v>46086.0</v>
      </c>
      <c r="B170" s="48" t="s">
        <v>236</v>
      </c>
      <c r="C170" s="49" t="s">
        <v>17</v>
      </c>
      <c r="D170" s="50">
        <v>1200.0</v>
      </c>
      <c r="E170" s="51" t="s">
        <v>16</v>
      </c>
      <c r="F170" s="52" t="s">
        <v>18</v>
      </c>
      <c r="G170" s="48" t="s">
        <v>237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7">
        <v>46086.0</v>
      </c>
      <c r="B171" s="48" t="s">
        <v>238</v>
      </c>
      <c r="C171" s="49" t="s">
        <v>9</v>
      </c>
      <c r="D171" s="50">
        <v>220.0</v>
      </c>
      <c r="E171" s="51" t="s">
        <v>16</v>
      </c>
      <c r="F171" s="52" t="s">
        <v>10</v>
      </c>
      <c r="G171" s="48" t="s">
        <v>239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7">
        <v>46086.0</v>
      </c>
      <c r="B172" s="48" t="s">
        <v>240</v>
      </c>
      <c r="C172" s="49" t="s">
        <v>20</v>
      </c>
      <c r="D172" s="50">
        <v>40.0</v>
      </c>
      <c r="E172" s="51" t="s">
        <v>19</v>
      </c>
      <c r="F172" s="52" t="s">
        <v>18</v>
      </c>
      <c r="G172" s="48" t="s">
        <v>241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7">
        <v>46087.0</v>
      </c>
      <c r="B173" s="48" t="s">
        <v>52</v>
      </c>
      <c r="C173" s="49" t="s">
        <v>9</v>
      </c>
      <c r="D173" s="50">
        <v>650.0</v>
      </c>
      <c r="E173" s="51" t="s">
        <v>16</v>
      </c>
      <c r="F173" s="52" t="s">
        <v>10</v>
      </c>
      <c r="G173" s="48" t="s">
        <v>242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7">
        <v>46087.0</v>
      </c>
      <c r="B174" s="48" t="s">
        <v>81</v>
      </c>
      <c r="C174" s="49" t="s">
        <v>9</v>
      </c>
      <c r="D174" s="50">
        <v>800.0</v>
      </c>
      <c r="E174" s="51" t="s">
        <v>14</v>
      </c>
      <c r="F174" s="52" t="s">
        <v>10</v>
      </c>
      <c r="G174" s="48" t="s">
        <v>82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7">
        <v>46087.0</v>
      </c>
      <c r="B175" s="48" t="s">
        <v>32</v>
      </c>
      <c r="C175" s="49" t="s">
        <v>20</v>
      </c>
      <c r="D175" s="50">
        <v>450.0</v>
      </c>
      <c r="E175" s="51" t="s">
        <v>16</v>
      </c>
      <c r="F175" s="52" t="s">
        <v>18</v>
      </c>
      <c r="G175" s="48" t="s">
        <v>176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7">
        <v>46088.0</v>
      </c>
      <c r="B176" s="48" t="s">
        <v>110</v>
      </c>
      <c r="C176" s="49" t="s">
        <v>12</v>
      </c>
      <c r="D176" s="50">
        <v>5000.0</v>
      </c>
      <c r="E176" s="51" t="s">
        <v>21</v>
      </c>
      <c r="F176" s="52" t="s">
        <v>13</v>
      </c>
      <c r="G176" s="48" t="s">
        <v>243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7">
        <v>46088.0</v>
      </c>
      <c r="B177" s="48" t="s">
        <v>244</v>
      </c>
      <c r="C177" s="49" t="s">
        <v>20</v>
      </c>
      <c r="D177" s="50">
        <v>600.0</v>
      </c>
      <c r="E177" s="51" t="s">
        <v>16</v>
      </c>
      <c r="F177" s="52" t="s">
        <v>18</v>
      </c>
      <c r="G177" s="48" t="s">
        <v>45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7">
        <v>46088.0</v>
      </c>
      <c r="B178" s="48" t="s">
        <v>245</v>
      </c>
      <c r="C178" s="49" t="s">
        <v>20</v>
      </c>
      <c r="D178" s="50">
        <v>350.0</v>
      </c>
      <c r="E178" s="51" t="s">
        <v>19</v>
      </c>
      <c r="F178" s="52" t="s">
        <v>18</v>
      </c>
      <c r="G178" s="48" t="s">
        <v>246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7">
        <v>46088.0</v>
      </c>
      <c r="B179" s="48" t="s">
        <v>89</v>
      </c>
      <c r="C179" s="49" t="s">
        <v>20</v>
      </c>
      <c r="D179" s="50">
        <v>550.0</v>
      </c>
      <c r="E179" s="51" t="s">
        <v>16</v>
      </c>
      <c r="F179" s="52" t="s">
        <v>18</v>
      </c>
      <c r="G179" s="48" t="s">
        <v>247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7">
        <v>46088.0</v>
      </c>
      <c r="B180" s="48" t="s">
        <v>48</v>
      </c>
      <c r="C180" s="49" t="s">
        <v>9</v>
      </c>
      <c r="D180" s="50">
        <v>300.0</v>
      </c>
      <c r="E180" s="51" t="s">
        <v>16</v>
      </c>
      <c r="F180" s="52" t="s">
        <v>10</v>
      </c>
      <c r="G180" s="48" t="s">
        <v>248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7">
        <v>46089.0</v>
      </c>
      <c r="B181" s="48" t="s">
        <v>75</v>
      </c>
      <c r="C181" s="49" t="s">
        <v>9</v>
      </c>
      <c r="D181" s="50">
        <v>1400.0</v>
      </c>
      <c r="E181" s="51" t="s">
        <v>16</v>
      </c>
      <c r="F181" s="52" t="s">
        <v>10</v>
      </c>
      <c r="G181" s="48" t="s">
        <v>249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7">
        <v>46089.0</v>
      </c>
      <c r="B182" s="48" t="s">
        <v>149</v>
      </c>
      <c r="C182" s="49" t="s">
        <v>20</v>
      </c>
      <c r="D182" s="50">
        <v>750.0</v>
      </c>
      <c r="E182" s="51" t="s">
        <v>11</v>
      </c>
      <c r="F182" s="52" t="s">
        <v>18</v>
      </c>
      <c r="G182" s="48" t="s">
        <v>182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7">
        <v>46089.0</v>
      </c>
      <c r="B183" s="48" t="s">
        <v>92</v>
      </c>
      <c r="C183" s="49" t="s">
        <v>9</v>
      </c>
      <c r="D183" s="50">
        <v>1200.0</v>
      </c>
      <c r="E183" s="51" t="s">
        <v>19</v>
      </c>
      <c r="F183" s="52" t="s">
        <v>10</v>
      </c>
      <c r="G183" s="48" t="s">
        <v>250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7">
        <v>46090.0</v>
      </c>
      <c r="B184" s="48" t="s">
        <v>60</v>
      </c>
      <c r="C184" s="49" t="s">
        <v>20</v>
      </c>
      <c r="D184" s="50">
        <v>350.0</v>
      </c>
      <c r="E184" s="51" t="s">
        <v>16</v>
      </c>
      <c r="F184" s="52" t="s">
        <v>18</v>
      </c>
      <c r="G184" s="48" t="s">
        <v>251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7">
        <v>46090.0</v>
      </c>
      <c r="B185" s="48" t="s">
        <v>128</v>
      </c>
      <c r="C185" s="49" t="s">
        <v>9</v>
      </c>
      <c r="D185" s="50">
        <v>40.0</v>
      </c>
      <c r="E185" s="51" t="s">
        <v>19</v>
      </c>
      <c r="F185" s="52" t="s">
        <v>10</v>
      </c>
      <c r="G185" s="48" t="s">
        <v>115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7">
        <v>46091.0</v>
      </c>
      <c r="B186" s="48" t="s">
        <v>48</v>
      </c>
      <c r="C186" s="49" t="s">
        <v>9</v>
      </c>
      <c r="D186" s="50">
        <v>190.0</v>
      </c>
      <c r="E186" s="51" t="s">
        <v>16</v>
      </c>
      <c r="F186" s="52" t="s">
        <v>10</v>
      </c>
      <c r="G186" s="48" t="s">
        <v>252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7">
        <v>46091.0</v>
      </c>
      <c r="B187" s="48" t="s">
        <v>253</v>
      </c>
      <c r="C187" s="49" t="s">
        <v>15</v>
      </c>
      <c r="D187" s="50">
        <v>499.0</v>
      </c>
      <c r="E187" s="51" t="s">
        <v>11</v>
      </c>
      <c r="F187" s="52" t="s">
        <v>10</v>
      </c>
      <c r="G187" s="48" t="s">
        <v>254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7">
        <v>46091.0</v>
      </c>
      <c r="B188" s="48" t="s">
        <v>40</v>
      </c>
      <c r="C188" s="49" t="s">
        <v>20</v>
      </c>
      <c r="D188" s="50">
        <v>30.0</v>
      </c>
      <c r="E188" s="51" t="s">
        <v>19</v>
      </c>
      <c r="F188" s="52" t="s">
        <v>18</v>
      </c>
      <c r="G188" s="48" t="s">
        <v>41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7">
        <v>46092.0</v>
      </c>
      <c r="B189" s="48" t="s">
        <v>98</v>
      </c>
      <c r="C189" s="49" t="s">
        <v>17</v>
      </c>
      <c r="D189" s="50">
        <v>400.0</v>
      </c>
      <c r="E189" s="51" t="s">
        <v>16</v>
      </c>
      <c r="F189" s="52" t="s">
        <v>18</v>
      </c>
      <c r="G189" s="48" t="s">
        <v>255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7">
        <v>46092.0</v>
      </c>
      <c r="B190" s="48" t="s">
        <v>256</v>
      </c>
      <c r="C190" s="49" t="s">
        <v>20</v>
      </c>
      <c r="D190" s="50">
        <v>299.0</v>
      </c>
      <c r="E190" s="51" t="s">
        <v>11</v>
      </c>
      <c r="F190" s="52" t="s">
        <v>18</v>
      </c>
      <c r="G190" s="48" t="s">
        <v>257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47">
        <v>46093.0</v>
      </c>
      <c r="B191" s="48" t="s">
        <v>52</v>
      </c>
      <c r="C191" s="49" t="s">
        <v>9</v>
      </c>
      <c r="D191" s="50">
        <v>480.0</v>
      </c>
      <c r="E191" s="51" t="s">
        <v>16</v>
      </c>
      <c r="F191" s="52" t="s">
        <v>10</v>
      </c>
      <c r="G191" s="48" t="s">
        <v>258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7">
        <v>46093.0</v>
      </c>
      <c r="B192" s="48" t="s">
        <v>38</v>
      </c>
      <c r="C192" s="49" t="s">
        <v>20</v>
      </c>
      <c r="D192" s="50">
        <v>200.0</v>
      </c>
      <c r="E192" s="51" t="s">
        <v>16</v>
      </c>
      <c r="F192" s="52" t="s">
        <v>18</v>
      </c>
      <c r="G192" s="48" t="s">
        <v>39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47">
        <v>46093.0</v>
      </c>
      <c r="B193" s="48" t="s">
        <v>158</v>
      </c>
      <c r="C193" s="49" t="s">
        <v>9</v>
      </c>
      <c r="D193" s="50">
        <v>350.0</v>
      </c>
      <c r="E193" s="51" t="s">
        <v>19</v>
      </c>
      <c r="F193" s="52" t="s">
        <v>10</v>
      </c>
      <c r="G193" s="48" t="s">
        <v>259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47">
        <v>46094.0</v>
      </c>
      <c r="B194" s="48" t="s">
        <v>77</v>
      </c>
      <c r="C194" s="49" t="s">
        <v>17</v>
      </c>
      <c r="D194" s="50">
        <v>1500.0</v>
      </c>
      <c r="E194" s="51" t="s">
        <v>11</v>
      </c>
      <c r="F194" s="52" t="s">
        <v>18</v>
      </c>
      <c r="G194" s="48" t="s">
        <v>260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47">
        <v>46094.0</v>
      </c>
      <c r="B195" s="48" t="s">
        <v>79</v>
      </c>
      <c r="C195" s="49" t="s">
        <v>9</v>
      </c>
      <c r="D195" s="50">
        <v>350.0</v>
      </c>
      <c r="E195" s="51" t="s">
        <v>16</v>
      </c>
      <c r="F195" s="52" t="s">
        <v>10</v>
      </c>
      <c r="G195" s="48" t="s">
        <v>80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47">
        <v>46094.0</v>
      </c>
      <c r="B196" s="48" t="s">
        <v>108</v>
      </c>
      <c r="C196" s="49" t="s">
        <v>20</v>
      </c>
      <c r="D196" s="50">
        <v>150.0</v>
      </c>
      <c r="E196" s="51" t="s">
        <v>19</v>
      </c>
      <c r="F196" s="52" t="s">
        <v>18</v>
      </c>
      <c r="G196" s="48" t="s">
        <v>261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47">
        <v>46095.0</v>
      </c>
      <c r="B197" s="48" t="s">
        <v>262</v>
      </c>
      <c r="C197" s="49" t="s">
        <v>17</v>
      </c>
      <c r="D197" s="50">
        <v>2000.0</v>
      </c>
      <c r="E197" s="51" t="s">
        <v>14</v>
      </c>
      <c r="F197" s="52" t="s">
        <v>18</v>
      </c>
      <c r="G197" s="48" t="s">
        <v>263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47">
        <v>46095.0</v>
      </c>
      <c r="B198" s="48" t="s">
        <v>264</v>
      </c>
      <c r="C198" s="49" t="s">
        <v>17</v>
      </c>
      <c r="D198" s="50">
        <v>600.0</v>
      </c>
      <c r="E198" s="51" t="s">
        <v>16</v>
      </c>
      <c r="F198" s="52" t="s">
        <v>18</v>
      </c>
      <c r="G198" s="48" t="s">
        <v>265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47">
        <v>46095.0</v>
      </c>
      <c r="B199" s="48" t="s">
        <v>266</v>
      </c>
      <c r="C199" s="49" t="s">
        <v>17</v>
      </c>
      <c r="D199" s="50">
        <v>2500.0</v>
      </c>
      <c r="E199" s="51" t="s">
        <v>11</v>
      </c>
      <c r="F199" s="52" t="s">
        <v>18</v>
      </c>
      <c r="G199" s="48" t="s">
        <v>267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47">
        <v>46095.0</v>
      </c>
      <c r="B200" s="48" t="s">
        <v>48</v>
      </c>
      <c r="C200" s="49" t="s">
        <v>9</v>
      </c>
      <c r="D200" s="50">
        <v>250.0</v>
      </c>
      <c r="E200" s="51" t="s">
        <v>16</v>
      </c>
      <c r="F200" s="52" t="s">
        <v>10</v>
      </c>
      <c r="G200" s="48" t="s">
        <v>268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47">
        <v>46096.0</v>
      </c>
      <c r="B201" s="48" t="s">
        <v>201</v>
      </c>
      <c r="C201" s="49" t="s">
        <v>12</v>
      </c>
      <c r="D201" s="50">
        <v>3000.0</v>
      </c>
      <c r="E201" s="51" t="s">
        <v>21</v>
      </c>
      <c r="F201" s="52" t="s">
        <v>13</v>
      </c>
      <c r="G201" s="48" t="s">
        <v>269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47">
        <v>46096.0</v>
      </c>
      <c r="B202" s="48" t="s">
        <v>36</v>
      </c>
      <c r="C202" s="49" t="s">
        <v>9</v>
      </c>
      <c r="D202" s="50">
        <v>950.0</v>
      </c>
      <c r="E202" s="51" t="s">
        <v>16</v>
      </c>
      <c r="F202" s="52" t="s">
        <v>10</v>
      </c>
      <c r="G202" s="48" t="s">
        <v>270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47">
        <v>46096.0</v>
      </c>
      <c r="B203" s="48" t="s">
        <v>147</v>
      </c>
      <c r="C203" s="49" t="s">
        <v>9</v>
      </c>
      <c r="D203" s="50">
        <v>200.0</v>
      </c>
      <c r="E203" s="51" t="s">
        <v>16</v>
      </c>
      <c r="F203" s="52" t="s">
        <v>10</v>
      </c>
      <c r="G203" s="48" t="s">
        <v>148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47">
        <v>46097.0</v>
      </c>
      <c r="B204" s="48" t="s">
        <v>104</v>
      </c>
      <c r="C204" s="49" t="s">
        <v>9</v>
      </c>
      <c r="D204" s="50">
        <v>200.0</v>
      </c>
      <c r="E204" s="51" t="s">
        <v>16</v>
      </c>
      <c r="F204" s="52" t="s">
        <v>10</v>
      </c>
      <c r="G204" s="48" t="s">
        <v>105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47">
        <v>46097.0</v>
      </c>
      <c r="B205" s="48" t="s">
        <v>129</v>
      </c>
      <c r="C205" s="49" t="s">
        <v>20</v>
      </c>
      <c r="D205" s="50">
        <v>60.0</v>
      </c>
      <c r="E205" s="51" t="s">
        <v>19</v>
      </c>
      <c r="F205" s="52" t="s">
        <v>18</v>
      </c>
      <c r="G205" s="48" t="s">
        <v>271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47">
        <v>46097.0</v>
      </c>
      <c r="B206" s="48" t="s">
        <v>153</v>
      </c>
      <c r="C206" s="49" t="s">
        <v>9</v>
      </c>
      <c r="D206" s="50">
        <v>200.0</v>
      </c>
      <c r="E206" s="51" t="s">
        <v>16</v>
      </c>
      <c r="F206" s="52" t="s">
        <v>10</v>
      </c>
      <c r="G206" s="48" t="s">
        <v>154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47">
        <v>46098.0</v>
      </c>
      <c r="B207" s="48" t="s">
        <v>272</v>
      </c>
      <c r="C207" s="49" t="s">
        <v>20</v>
      </c>
      <c r="D207" s="50">
        <v>380.0</v>
      </c>
      <c r="E207" s="51" t="s">
        <v>11</v>
      </c>
      <c r="F207" s="52" t="s">
        <v>18</v>
      </c>
      <c r="G207" s="48" t="s">
        <v>273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47">
        <v>46098.0</v>
      </c>
      <c r="B208" s="48" t="s">
        <v>274</v>
      </c>
      <c r="C208" s="49" t="s">
        <v>15</v>
      </c>
      <c r="D208" s="50">
        <v>450.0</v>
      </c>
      <c r="E208" s="51" t="s">
        <v>16</v>
      </c>
      <c r="F208" s="52" t="s">
        <v>10</v>
      </c>
      <c r="G208" s="48" t="s">
        <v>275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47">
        <v>46099.0</v>
      </c>
      <c r="B209" s="48" t="s">
        <v>194</v>
      </c>
      <c r="C209" s="49" t="s">
        <v>20</v>
      </c>
      <c r="D209" s="50">
        <v>300.0</v>
      </c>
      <c r="E209" s="51" t="s">
        <v>19</v>
      </c>
      <c r="F209" s="52" t="s">
        <v>18</v>
      </c>
      <c r="G209" s="48" t="s">
        <v>276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47">
        <v>46099.0</v>
      </c>
      <c r="B210" s="48" t="s">
        <v>52</v>
      </c>
      <c r="C210" s="49" t="s">
        <v>9</v>
      </c>
      <c r="D210" s="50">
        <v>290.0</v>
      </c>
      <c r="E210" s="51" t="s">
        <v>16</v>
      </c>
      <c r="F210" s="52" t="s">
        <v>10</v>
      </c>
      <c r="G210" s="48" t="s">
        <v>53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47">
        <v>46099.0</v>
      </c>
      <c r="B211" s="48" t="s">
        <v>40</v>
      </c>
      <c r="C211" s="49" t="s">
        <v>20</v>
      </c>
      <c r="D211" s="50">
        <v>30.0</v>
      </c>
      <c r="E211" s="51" t="s">
        <v>19</v>
      </c>
      <c r="F211" s="52" t="s">
        <v>18</v>
      </c>
      <c r="G211" s="48" t="s">
        <v>155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47">
        <v>46100.0</v>
      </c>
      <c r="B212" s="48" t="s">
        <v>277</v>
      </c>
      <c r="C212" s="49" t="s">
        <v>20</v>
      </c>
      <c r="D212" s="50">
        <v>1500.0</v>
      </c>
      <c r="E212" s="51" t="s">
        <v>11</v>
      </c>
      <c r="F212" s="52" t="s">
        <v>18</v>
      </c>
      <c r="G212" s="48" t="s">
        <v>278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47">
        <v>46100.0</v>
      </c>
      <c r="B213" s="48" t="s">
        <v>279</v>
      </c>
      <c r="C213" s="49" t="s">
        <v>20</v>
      </c>
      <c r="D213" s="50">
        <v>110.0</v>
      </c>
      <c r="E213" s="51" t="s">
        <v>19</v>
      </c>
      <c r="F213" s="52" t="s">
        <v>18</v>
      </c>
      <c r="G213" s="48" t="s">
        <v>280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47">
        <v>46101.0</v>
      </c>
      <c r="B214" s="48" t="s">
        <v>81</v>
      </c>
      <c r="C214" s="49" t="s">
        <v>9</v>
      </c>
      <c r="D214" s="50">
        <v>700.0</v>
      </c>
      <c r="E214" s="51" t="s">
        <v>14</v>
      </c>
      <c r="F214" s="52" t="s">
        <v>10</v>
      </c>
      <c r="G214" s="48" t="s">
        <v>82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47">
        <v>46101.0</v>
      </c>
      <c r="B215" s="48" t="s">
        <v>113</v>
      </c>
      <c r="C215" s="49" t="s">
        <v>20</v>
      </c>
      <c r="D215" s="50">
        <v>900.0</v>
      </c>
      <c r="E215" s="51" t="s">
        <v>11</v>
      </c>
      <c r="F215" s="52" t="s">
        <v>18</v>
      </c>
      <c r="G215" s="48" t="s">
        <v>211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47">
        <v>46101.0</v>
      </c>
      <c r="B216" s="48" t="s">
        <v>224</v>
      </c>
      <c r="C216" s="49" t="s">
        <v>9</v>
      </c>
      <c r="D216" s="50">
        <v>50.0</v>
      </c>
      <c r="E216" s="51" t="s">
        <v>19</v>
      </c>
      <c r="F216" s="52" t="s">
        <v>10</v>
      </c>
      <c r="G216" s="48" t="s">
        <v>281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47">
        <v>46101.0</v>
      </c>
      <c r="B217" s="48" t="s">
        <v>95</v>
      </c>
      <c r="C217" s="49" t="s">
        <v>20</v>
      </c>
      <c r="D217" s="50">
        <v>150.0</v>
      </c>
      <c r="E217" s="51" t="s">
        <v>16</v>
      </c>
      <c r="F217" s="52" t="s">
        <v>18</v>
      </c>
      <c r="G217" s="48" t="s">
        <v>96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47">
        <v>46102.0</v>
      </c>
      <c r="B218" s="48" t="s">
        <v>282</v>
      </c>
      <c r="C218" s="49" t="s">
        <v>17</v>
      </c>
      <c r="D218" s="50">
        <v>500.0</v>
      </c>
      <c r="E218" s="51" t="s">
        <v>16</v>
      </c>
      <c r="F218" s="52" t="s">
        <v>18</v>
      </c>
      <c r="G218" s="48" t="s">
        <v>283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47">
        <v>46102.0</v>
      </c>
      <c r="B219" s="48" t="s">
        <v>284</v>
      </c>
      <c r="C219" s="49" t="s">
        <v>20</v>
      </c>
      <c r="D219" s="50">
        <v>2200.0</v>
      </c>
      <c r="E219" s="51" t="s">
        <v>11</v>
      </c>
      <c r="F219" s="52" t="s">
        <v>18</v>
      </c>
      <c r="G219" s="48" t="s">
        <v>285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47">
        <v>46102.0</v>
      </c>
      <c r="B220" s="48" t="s">
        <v>212</v>
      </c>
      <c r="C220" s="49" t="s">
        <v>20</v>
      </c>
      <c r="D220" s="50">
        <v>450.0</v>
      </c>
      <c r="E220" s="51" t="s">
        <v>16</v>
      </c>
      <c r="F220" s="52" t="s">
        <v>18</v>
      </c>
      <c r="G220" s="48" t="s">
        <v>286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47">
        <v>46102.0</v>
      </c>
      <c r="B221" s="48" t="s">
        <v>205</v>
      </c>
      <c r="C221" s="49" t="s">
        <v>9</v>
      </c>
      <c r="D221" s="50">
        <v>120.0</v>
      </c>
      <c r="E221" s="51" t="s">
        <v>19</v>
      </c>
      <c r="F221" s="52" t="s">
        <v>10</v>
      </c>
      <c r="G221" s="48" t="s">
        <v>287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47">
        <v>46103.0</v>
      </c>
      <c r="B222" s="48" t="s">
        <v>288</v>
      </c>
      <c r="C222" s="49" t="s">
        <v>12</v>
      </c>
      <c r="D222" s="50">
        <v>2000.0</v>
      </c>
      <c r="E222" s="51" t="s">
        <v>21</v>
      </c>
      <c r="F222" s="52" t="s">
        <v>13</v>
      </c>
      <c r="G222" s="48" t="s">
        <v>289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47">
        <v>46103.0</v>
      </c>
      <c r="B223" s="48" t="s">
        <v>92</v>
      </c>
      <c r="C223" s="49" t="s">
        <v>9</v>
      </c>
      <c r="D223" s="50">
        <v>1100.0</v>
      </c>
      <c r="E223" s="51" t="s">
        <v>19</v>
      </c>
      <c r="F223" s="52" t="s">
        <v>10</v>
      </c>
      <c r="G223" s="48" t="s">
        <v>93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47">
        <v>46103.0</v>
      </c>
      <c r="B224" s="48" t="s">
        <v>32</v>
      </c>
      <c r="C224" s="49" t="s">
        <v>20</v>
      </c>
      <c r="D224" s="50">
        <v>320.0</v>
      </c>
      <c r="E224" s="51" t="s">
        <v>16</v>
      </c>
      <c r="F224" s="52" t="s">
        <v>18</v>
      </c>
      <c r="G224" s="48" t="s">
        <v>290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47">
        <v>46104.0</v>
      </c>
      <c r="B225" s="48" t="s">
        <v>65</v>
      </c>
      <c r="C225" s="49" t="s">
        <v>9</v>
      </c>
      <c r="D225" s="50">
        <v>200.0</v>
      </c>
      <c r="E225" s="51" t="s">
        <v>16</v>
      </c>
      <c r="F225" s="52" t="s">
        <v>10</v>
      </c>
      <c r="G225" s="48" t="s">
        <v>66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47">
        <v>46104.0</v>
      </c>
      <c r="B226" s="48" t="s">
        <v>291</v>
      </c>
      <c r="C226" s="49" t="s">
        <v>20</v>
      </c>
      <c r="D226" s="50">
        <v>80.0</v>
      </c>
      <c r="E226" s="51" t="s">
        <v>19</v>
      </c>
      <c r="F226" s="52" t="s">
        <v>18</v>
      </c>
      <c r="G226" s="48" t="s">
        <v>241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47">
        <v>46105.0</v>
      </c>
      <c r="B227" s="48" t="s">
        <v>100</v>
      </c>
      <c r="C227" s="49" t="s">
        <v>9</v>
      </c>
      <c r="D227" s="50">
        <v>799.0</v>
      </c>
      <c r="E227" s="51" t="s">
        <v>16</v>
      </c>
      <c r="F227" s="52" t="s">
        <v>10</v>
      </c>
      <c r="G227" s="48" t="s">
        <v>292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47">
        <v>46105.0</v>
      </c>
      <c r="B228" s="48" t="s">
        <v>293</v>
      </c>
      <c r="C228" s="49" t="s">
        <v>9</v>
      </c>
      <c r="D228" s="50">
        <v>350.0</v>
      </c>
      <c r="E228" s="51" t="s">
        <v>16</v>
      </c>
      <c r="F228" s="52" t="s">
        <v>10</v>
      </c>
      <c r="G228" s="48" t="s">
        <v>294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47">
        <v>46105.0</v>
      </c>
      <c r="B229" s="48" t="s">
        <v>38</v>
      </c>
      <c r="C229" s="49" t="s">
        <v>20</v>
      </c>
      <c r="D229" s="50">
        <v>250.0</v>
      </c>
      <c r="E229" s="51" t="s">
        <v>16</v>
      </c>
      <c r="F229" s="52" t="s">
        <v>18</v>
      </c>
      <c r="G229" s="48" t="s">
        <v>103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47">
        <v>46106.0</v>
      </c>
      <c r="B230" s="48" t="s">
        <v>70</v>
      </c>
      <c r="C230" s="49" t="s">
        <v>20</v>
      </c>
      <c r="D230" s="50">
        <v>119.0</v>
      </c>
      <c r="E230" s="51" t="s">
        <v>11</v>
      </c>
      <c r="F230" s="52" t="s">
        <v>18</v>
      </c>
      <c r="G230" s="48" t="s">
        <v>69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47">
        <v>46106.0</v>
      </c>
      <c r="B231" s="48" t="s">
        <v>295</v>
      </c>
      <c r="C231" s="49" t="s">
        <v>9</v>
      </c>
      <c r="D231" s="50">
        <v>80.0</v>
      </c>
      <c r="E231" s="51" t="s">
        <v>19</v>
      </c>
      <c r="F231" s="52" t="s">
        <v>10</v>
      </c>
      <c r="G231" s="48" t="s">
        <v>115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47">
        <v>46107.0</v>
      </c>
      <c r="B232" s="48" t="s">
        <v>207</v>
      </c>
      <c r="C232" s="49" t="s">
        <v>17</v>
      </c>
      <c r="D232" s="50">
        <v>800.0</v>
      </c>
      <c r="E232" s="51" t="s">
        <v>16</v>
      </c>
      <c r="F232" s="52" t="s">
        <v>18</v>
      </c>
      <c r="G232" s="48" t="s">
        <v>296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47">
        <v>46107.0</v>
      </c>
      <c r="B233" s="48" t="s">
        <v>138</v>
      </c>
      <c r="C233" s="49" t="s">
        <v>9</v>
      </c>
      <c r="D233" s="50">
        <v>170.0</v>
      </c>
      <c r="E233" s="51" t="s">
        <v>16</v>
      </c>
      <c r="F233" s="52" t="s">
        <v>10</v>
      </c>
      <c r="G233" s="48" t="s">
        <v>297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47">
        <v>46107.0</v>
      </c>
      <c r="B234" s="48" t="s">
        <v>209</v>
      </c>
      <c r="C234" s="49" t="s">
        <v>20</v>
      </c>
      <c r="D234" s="50">
        <v>40.0</v>
      </c>
      <c r="E234" s="51" t="s">
        <v>19</v>
      </c>
      <c r="F234" s="52" t="s">
        <v>18</v>
      </c>
      <c r="G234" s="48" t="s">
        <v>210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47">
        <v>46108.0</v>
      </c>
      <c r="B235" s="48" t="s">
        <v>113</v>
      </c>
      <c r="C235" s="49" t="s">
        <v>20</v>
      </c>
      <c r="D235" s="50">
        <v>1100.0</v>
      </c>
      <c r="E235" s="51" t="s">
        <v>11</v>
      </c>
      <c r="F235" s="52" t="s">
        <v>18</v>
      </c>
      <c r="G235" s="48" t="s">
        <v>298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47">
        <v>46108.0</v>
      </c>
      <c r="B236" s="48" t="s">
        <v>199</v>
      </c>
      <c r="C236" s="49" t="s">
        <v>20</v>
      </c>
      <c r="D236" s="50">
        <v>300.0</v>
      </c>
      <c r="E236" s="51" t="s">
        <v>16</v>
      </c>
      <c r="F236" s="52" t="s">
        <v>18</v>
      </c>
      <c r="G236" s="48" t="s">
        <v>299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47">
        <v>46108.0</v>
      </c>
      <c r="B237" s="48" t="s">
        <v>48</v>
      </c>
      <c r="C237" s="49" t="s">
        <v>9</v>
      </c>
      <c r="D237" s="50">
        <v>280.0</v>
      </c>
      <c r="E237" s="51" t="s">
        <v>16</v>
      </c>
      <c r="F237" s="52" t="s">
        <v>10</v>
      </c>
      <c r="G237" s="48" t="s">
        <v>300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47">
        <v>46109.0</v>
      </c>
      <c r="B238" s="48" t="s">
        <v>36</v>
      </c>
      <c r="C238" s="49" t="s">
        <v>9</v>
      </c>
      <c r="D238" s="50">
        <v>1400.0</v>
      </c>
      <c r="E238" s="51" t="s">
        <v>16</v>
      </c>
      <c r="F238" s="52" t="s">
        <v>10</v>
      </c>
      <c r="G238" s="48" t="s">
        <v>301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47">
        <v>46109.0</v>
      </c>
      <c r="B239" s="48" t="s">
        <v>302</v>
      </c>
      <c r="C239" s="49" t="s">
        <v>20</v>
      </c>
      <c r="D239" s="50">
        <v>500.0</v>
      </c>
      <c r="E239" s="51" t="s">
        <v>19</v>
      </c>
      <c r="F239" s="52" t="s">
        <v>18</v>
      </c>
      <c r="G239" s="48" t="s">
        <v>303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47">
        <v>46109.0</v>
      </c>
      <c r="B240" s="48" t="s">
        <v>50</v>
      </c>
      <c r="C240" s="49" t="s">
        <v>20</v>
      </c>
      <c r="D240" s="50">
        <v>650.0</v>
      </c>
      <c r="E240" s="51" t="s">
        <v>16</v>
      </c>
      <c r="F240" s="52" t="s">
        <v>18</v>
      </c>
      <c r="G240" s="48" t="s">
        <v>304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47">
        <v>46109.0</v>
      </c>
      <c r="B241" s="48" t="s">
        <v>81</v>
      </c>
      <c r="C241" s="49" t="s">
        <v>9</v>
      </c>
      <c r="D241" s="50">
        <v>500.0</v>
      </c>
      <c r="E241" s="51" t="s">
        <v>14</v>
      </c>
      <c r="F241" s="52" t="s">
        <v>10</v>
      </c>
      <c r="G241" s="48" t="s">
        <v>305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47">
        <v>46110.0</v>
      </c>
      <c r="B242" s="48" t="s">
        <v>124</v>
      </c>
      <c r="C242" s="49" t="s">
        <v>9</v>
      </c>
      <c r="D242" s="50">
        <v>900.0</v>
      </c>
      <c r="E242" s="51" t="s">
        <v>16</v>
      </c>
      <c r="F242" s="52" t="s">
        <v>10</v>
      </c>
      <c r="G242" s="48" t="s">
        <v>125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47">
        <v>46110.0</v>
      </c>
      <c r="B243" s="48" t="s">
        <v>52</v>
      </c>
      <c r="C243" s="49" t="s">
        <v>9</v>
      </c>
      <c r="D243" s="50">
        <v>250.0</v>
      </c>
      <c r="E243" s="51" t="s">
        <v>16</v>
      </c>
      <c r="F243" s="52" t="s">
        <v>10</v>
      </c>
      <c r="G243" s="48" t="s">
        <v>306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47">
        <v>46110.0</v>
      </c>
      <c r="B244" s="48" t="s">
        <v>307</v>
      </c>
      <c r="C244" s="49" t="s">
        <v>20</v>
      </c>
      <c r="D244" s="50">
        <v>350.0</v>
      </c>
      <c r="E244" s="51" t="s">
        <v>19</v>
      </c>
      <c r="F244" s="52" t="s">
        <v>18</v>
      </c>
      <c r="G244" s="48" t="s">
        <v>308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47">
        <v>46111.0</v>
      </c>
      <c r="B245" s="48" t="s">
        <v>309</v>
      </c>
      <c r="C245" s="49" t="s">
        <v>9</v>
      </c>
      <c r="D245" s="50">
        <v>450.0</v>
      </c>
      <c r="E245" s="51" t="s">
        <v>19</v>
      </c>
      <c r="F245" s="52" t="s">
        <v>10</v>
      </c>
      <c r="G245" s="48" t="s">
        <v>310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47">
        <v>46111.0</v>
      </c>
      <c r="B246" s="48" t="s">
        <v>145</v>
      </c>
      <c r="C246" s="49" t="s">
        <v>9</v>
      </c>
      <c r="D246" s="50">
        <v>150.0</v>
      </c>
      <c r="E246" s="51" t="s">
        <v>16</v>
      </c>
      <c r="F246" s="52" t="s">
        <v>10</v>
      </c>
      <c r="G246" s="48" t="s">
        <v>115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47">
        <v>46111.0</v>
      </c>
      <c r="B247" s="48" t="s">
        <v>40</v>
      </c>
      <c r="C247" s="49" t="s">
        <v>20</v>
      </c>
      <c r="D247" s="50">
        <v>30.0</v>
      </c>
      <c r="E247" s="51" t="s">
        <v>19</v>
      </c>
      <c r="F247" s="52" t="s">
        <v>18</v>
      </c>
      <c r="G247" s="48" t="s">
        <v>102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47">
        <v>46112.0</v>
      </c>
      <c r="B248" s="48" t="s">
        <v>311</v>
      </c>
      <c r="C248" s="49" t="s">
        <v>9</v>
      </c>
      <c r="D248" s="50">
        <v>500.0</v>
      </c>
      <c r="E248" s="51" t="s">
        <v>16</v>
      </c>
      <c r="F248" s="52" t="s">
        <v>10</v>
      </c>
      <c r="G248" s="48" t="s">
        <v>312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47">
        <v>46112.0</v>
      </c>
      <c r="B249" s="48" t="s">
        <v>32</v>
      </c>
      <c r="C249" s="49" t="s">
        <v>20</v>
      </c>
      <c r="D249" s="50">
        <v>380.0</v>
      </c>
      <c r="E249" s="51" t="s">
        <v>16</v>
      </c>
      <c r="F249" s="52" t="s">
        <v>18</v>
      </c>
      <c r="G249" s="48" t="s">
        <v>313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47">
        <v>46112.0</v>
      </c>
      <c r="B250" s="48" t="s">
        <v>160</v>
      </c>
      <c r="C250" s="49" t="s">
        <v>9</v>
      </c>
      <c r="D250" s="50">
        <v>50.0</v>
      </c>
      <c r="E250" s="51" t="s">
        <v>19</v>
      </c>
      <c r="F250" s="52" t="s">
        <v>10</v>
      </c>
      <c r="G250" s="48" t="s">
        <v>74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47">
        <v>46113.0</v>
      </c>
      <c r="B251" s="48" t="s">
        <v>34</v>
      </c>
      <c r="C251" s="49" t="s">
        <v>9</v>
      </c>
      <c r="D251" s="50">
        <v>12000.0</v>
      </c>
      <c r="E251" s="51" t="s">
        <v>21</v>
      </c>
      <c r="F251" s="52" t="s">
        <v>10</v>
      </c>
      <c r="G251" s="48" t="s">
        <v>35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47">
        <v>46113.0</v>
      </c>
      <c r="B252" s="48" t="s">
        <v>36</v>
      </c>
      <c r="C252" s="49" t="s">
        <v>9</v>
      </c>
      <c r="D252" s="50">
        <v>1700.0</v>
      </c>
      <c r="E252" s="51" t="s">
        <v>16</v>
      </c>
      <c r="F252" s="52" t="s">
        <v>10</v>
      </c>
      <c r="G252" s="48" t="s">
        <v>37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47">
        <v>46113.0</v>
      </c>
      <c r="B253" s="48" t="s">
        <v>40</v>
      </c>
      <c r="C253" s="49" t="s">
        <v>20</v>
      </c>
      <c r="D253" s="50">
        <v>30.0</v>
      </c>
      <c r="E253" s="51" t="s">
        <v>19</v>
      </c>
      <c r="F253" s="52" t="s">
        <v>18</v>
      </c>
      <c r="G253" s="48" t="s">
        <v>102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47">
        <v>46113.0</v>
      </c>
      <c r="B254" s="48" t="s">
        <v>161</v>
      </c>
      <c r="C254" s="49" t="s">
        <v>20</v>
      </c>
      <c r="D254" s="50">
        <v>120.0</v>
      </c>
      <c r="E254" s="51" t="s">
        <v>19</v>
      </c>
      <c r="F254" s="52" t="s">
        <v>18</v>
      </c>
      <c r="G254" s="48" t="s">
        <v>162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47">
        <v>46114.0</v>
      </c>
      <c r="B255" s="48" t="s">
        <v>56</v>
      </c>
      <c r="C255" s="49" t="s">
        <v>9</v>
      </c>
      <c r="D255" s="50">
        <v>500.0</v>
      </c>
      <c r="E255" s="51" t="s">
        <v>16</v>
      </c>
      <c r="F255" s="52" t="s">
        <v>10</v>
      </c>
      <c r="G255" s="48" t="s">
        <v>166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47">
        <v>46114.0</v>
      </c>
      <c r="B256" s="48" t="s">
        <v>58</v>
      </c>
      <c r="C256" s="49" t="s">
        <v>9</v>
      </c>
      <c r="D256" s="50">
        <v>299.0</v>
      </c>
      <c r="E256" s="51" t="s">
        <v>16</v>
      </c>
      <c r="F256" s="52" t="s">
        <v>10</v>
      </c>
      <c r="G256" s="48" t="s">
        <v>59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47">
        <v>46114.0</v>
      </c>
      <c r="B257" s="48" t="s">
        <v>32</v>
      </c>
      <c r="C257" s="49" t="s">
        <v>20</v>
      </c>
      <c r="D257" s="50">
        <v>280.0</v>
      </c>
      <c r="E257" s="51" t="s">
        <v>16</v>
      </c>
      <c r="F257" s="52" t="s">
        <v>18</v>
      </c>
      <c r="G257" s="48" t="s">
        <v>314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47">
        <v>46115.0</v>
      </c>
      <c r="B258" s="48" t="s">
        <v>63</v>
      </c>
      <c r="C258" s="49" t="s">
        <v>15</v>
      </c>
      <c r="D258" s="50">
        <v>1500.0</v>
      </c>
      <c r="E258" s="51" t="s">
        <v>14</v>
      </c>
      <c r="F258" s="52" t="s">
        <v>10</v>
      </c>
      <c r="G258" s="48" t="s">
        <v>64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47">
        <v>46115.0</v>
      </c>
      <c r="B259" s="48" t="s">
        <v>174</v>
      </c>
      <c r="C259" s="49" t="s">
        <v>20</v>
      </c>
      <c r="D259" s="50">
        <v>280.0</v>
      </c>
      <c r="E259" s="51" t="s">
        <v>16</v>
      </c>
      <c r="F259" s="52" t="s">
        <v>18</v>
      </c>
      <c r="G259" s="48" t="s">
        <v>175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47">
        <v>46115.0</v>
      </c>
      <c r="B260" s="48" t="s">
        <v>89</v>
      </c>
      <c r="C260" s="49" t="s">
        <v>20</v>
      </c>
      <c r="D260" s="50">
        <v>400.0</v>
      </c>
      <c r="E260" s="51" t="s">
        <v>16</v>
      </c>
      <c r="F260" s="52" t="s">
        <v>18</v>
      </c>
      <c r="G260" s="48" t="s">
        <v>117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47">
        <v>46116.0</v>
      </c>
      <c r="B261" s="48" t="s">
        <v>110</v>
      </c>
      <c r="C261" s="49" t="s">
        <v>12</v>
      </c>
      <c r="D261" s="50">
        <v>5000.0</v>
      </c>
      <c r="E261" s="51" t="s">
        <v>21</v>
      </c>
      <c r="F261" s="52" t="s">
        <v>13</v>
      </c>
      <c r="G261" s="48" t="s">
        <v>315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47">
        <v>46116.0</v>
      </c>
      <c r="B262" s="48" t="s">
        <v>92</v>
      </c>
      <c r="C262" s="49" t="s">
        <v>9</v>
      </c>
      <c r="D262" s="50">
        <v>1100.0</v>
      </c>
      <c r="E262" s="51" t="s">
        <v>19</v>
      </c>
      <c r="F262" s="52" t="s">
        <v>10</v>
      </c>
      <c r="G262" s="48" t="s">
        <v>93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47">
        <v>46116.0</v>
      </c>
      <c r="B263" s="48" t="s">
        <v>212</v>
      </c>
      <c r="C263" s="49" t="s">
        <v>20</v>
      </c>
      <c r="D263" s="50">
        <v>380.0</v>
      </c>
      <c r="E263" s="51" t="s">
        <v>16</v>
      </c>
      <c r="F263" s="52" t="s">
        <v>18</v>
      </c>
      <c r="G263" s="48" t="s">
        <v>316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47">
        <v>46116.0</v>
      </c>
      <c r="B264" s="48" t="s">
        <v>205</v>
      </c>
      <c r="C264" s="49" t="s">
        <v>9</v>
      </c>
      <c r="D264" s="50">
        <v>100.0</v>
      </c>
      <c r="E264" s="51" t="s">
        <v>19</v>
      </c>
      <c r="F264" s="52" t="s">
        <v>10</v>
      </c>
      <c r="G264" s="48" t="s">
        <v>287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47">
        <v>46117.0</v>
      </c>
      <c r="B265" s="48" t="s">
        <v>68</v>
      </c>
      <c r="C265" s="49" t="s">
        <v>20</v>
      </c>
      <c r="D265" s="50">
        <v>199.0</v>
      </c>
      <c r="E265" s="51" t="s">
        <v>11</v>
      </c>
      <c r="F265" s="52" t="s">
        <v>18</v>
      </c>
      <c r="G265" s="48" t="s">
        <v>69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47">
        <v>46117.0</v>
      </c>
      <c r="B266" s="48" t="s">
        <v>70</v>
      </c>
      <c r="C266" s="49" t="s">
        <v>20</v>
      </c>
      <c r="D266" s="50">
        <v>119.0</v>
      </c>
      <c r="E266" s="51" t="s">
        <v>11</v>
      </c>
      <c r="F266" s="52" t="s">
        <v>18</v>
      </c>
      <c r="G266" s="48" t="s">
        <v>69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47">
        <v>46117.0</v>
      </c>
      <c r="B267" s="48" t="s">
        <v>38</v>
      </c>
      <c r="C267" s="49" t="s">
        <v>20</v>
      </c>
      <c r="D267" s="50">
        <v>250.0</v>
      </c>
      <c r="E267" s="51" t="s">
        <v>16</v>
      </c>
      <c r="F267" s="52" t="s">
        <v>18</v>
      </c>
      <c r="G267" s="48" t="s">
        <v>51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47">
        <v>46117.0</v>
      </c>
      <c r="B268" s="48" t="s">
        <v>147</v>
      </c>
      <c r="C268" s="49" t="s">
        <v>9</v>
      </c>
      <c r="D268" s="50">
        <v>200.0</v>
      </c>
      <c r="E268" s="51" t="s">
        <v>16</v>
      </c>
      <c r="F268" s="52" t="s">
        <v>10</v>
      </c>
      <c r="G268" s="48" t="s">
        <v>148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47">
        <v>46118.0</v>
      </c>
      <c r="B269" s="48" t="s">
        <v>75</v>
      </c>
      <c r="C269" s="49" t="s">
        <v>9</v>
      </c>
      <c r="D269" s="50">
        <v>1350.0</v>
      </c>
      <c r="E269" s="51" t="s">
        <v>16</v>
      </c>
      <c r="F269" s="52" t="s">
        <v>10</v>
      </c>
      <c r="G269" s="48" t="s">
        <v>317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47">
        <v>46118.0</v>
      </c>
      <c r="B270" s="48" t="s">
        <v>65</v>
      </c>
      <c r="C270" s="49" t="s">
        <v>9</v>
      </c>
      <c r="D270" s="50">
        <v>180.0</v>
      </c>
      <c r="E270" s="51" t="s">
        <v>16</v>
      </c>
      <c r="F270" s="52" t="s">
        <v>10</v>
      </c>
      <c r="G270" s="48" t="s">
        <v>318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47">
        <v>46118.0</v>
      </c>
      <c r="B271" s="48" t="s">
        <v>85</v>
      </c>
      <c r="C271" s="49" t="s">
        <v>20</v>
      </c>
      <c r="D271" s="50">
        <v>50.0</v>
      </c>
      <c r="E271" s="51" t="s">
        <v>19</v>
      </c>
      <c r="F271" s="52" t="s">
        <v>18</v>
      </c>
      <c r="G271" s="48" t="s">
        <v>319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47">
        <v>46119.0</v>
      </c>
      <c r="B272" s="48" t="s">
        <v>81</v>
      </c>
      <c r="C272" s="49" t="s">
        <v>9</v>
      </c>
      <c r="D272" s="50">
        <v>750.0</v>
      </c>
      <c r="E272" s="51" t="s">
        <v>14</v>
      </c>
      <c r="F272" s="52" t="s">
        <v>10</v>
      </c>
      <c r="G272" s="48" t="s">
        <v>82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47">
        <v>46119.0</v>
      </c>
      <c r="B273" s="48" t="s">
        <v>52</v>
      </c>
      <c r="C273" s="49" t="s">
        <v>9</v>
      </c>
      <c r="D273" s="50">
        <v>380.0</v>
      </c>
      <c r="E273" s="51" t="s">
        <v>16</v>
      </c>
      <c r="F273" s="52" t="s">
        <v>10</v>
      </c>
      <c r="G273" s="48" t="s">
        <v>169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47">
        <v>46119.0</v>
      </c>
      <c r="B274" s="48" t="s">
        <v>161</v>
      </c>
      <c r="C274" s="49" t="s">
        <v>20</v>
      </c>
      <c r="D274" s="50">
        <v>130.0</v>
      </c>
      <c r="E274" s="51" t="s">
        <v>19</v>
      </c>
      <c r="F274" s="52" t="s">
        <v>18</v>
      </c>
      <c r="G274" s="48" t="s">
        <v>280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47">
        <v>46120.0</v>
      </c>
      <c r="B275" s="48" t="s">
        <v>100</v>
      </c>
      <c r="C275" s="49" t="s">
        <v>9</v>
      </c>
      <c r="D275" s="50">
        <v>799.0</v>
      </c>
      <c r="E275" s="51" t="s">
        <v>16</v>
      </c>
      <c r="F275" s="52" t="s">
        <v>10</v>
      </c>
      <c r="G275" s="48" t="s">
        <v>101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47">
        <v>46120.0</v>
      </c>
      <c r="B276" s="48" t="s">
        <v>320</v>
      </c>
      <c r="C276" s="49" t="s">
        <v>17</v>
      </c>
      <c r="D276" s="50">
        <v>500.0</v>
      </c>
      <c r="E276" s="51" t="s">
        <v>16</v>
      </c>
      <c r="F276" s="52" t="s">
        <v>18</v>
      </c>
      <c r="G276" s="48" t="s">
        <v>321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47">
        <v>46120.0</v>
      </c>
      <c r="B277" s="48" t="s">
        <v>40</v>
      </c>
      <c r="C277" s="49" t="s">
        <v>20</v>
      </c>
      <c r="D277" s="50">
        <v>30.0</v>
      </c>
      <c r="E277" s="51" t="s">
        <v>19</v>
      </c>
      <c r="F277" s="52" t="s">
        <v>18</v>
      </c>
      <c r="G277" s="48" t="s">
        <v>41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47">
        <v>46121.0</v>
      </c>
      <c r="B278" s="48" t="s">
        <v>48</v>
      </c>
      <c r="C278" s="49" t="s">
        <v>9</v>
      </c>
      <c r="D278" s="50">
        <v>200.0</v>
      </c>
      <c r="E278" s="51" t="s">
        <v>16</v>
      </c>
      <c r="F278" s="52" t="s">
        <v>10</v>
      </c>
      <c r="G278" s="48" t="s">
        <v>115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47">
        <v>46121.0</v>
      </c>
      <c r="B279" s="48" t="s">
        <v>38</v>
      </c>
      <c r="C279" s="49" t="s">
        <v>20</v>
      </c>
      <c r="D279" s="50">
        <v>220.0</v>
      </c>
      <c r="E279" s="51" t="s">
        <v>16</v>
      </c>
      <c r="F279" s="52" t="s">
        <v>18</v>
      </c>
      <c r="G279" s="48" t="s">
        <v>132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47">
        <v>46122.0</v>
      </c>
      <c r="B280" s="48" t="s">
        <v>288</v>
      </c>
      <c r="C280" s="49" t="s">
        <v>12</v>
      </c>
      <c r="D280" s="50">
        <v>2000.0</v>
      </c>
      <c r="E280" s="51" t="s">
        <v>21</v>
      </c>
      <c r="F280" s="52" t="s">
        <v>13</v>
      </c>
      <c r="G280" s="48" t="s">
        <v>289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47">
        <v>46122.0</v>
      </c>
      <c r="B281" s="48" t="s">
        <v>113</v>
      </c>
      <c r="C281" s="49" t="s">
        <v>20</v>
      </c>
      <c r="D281" s="50">
        <v>750.0</v>
      </c>
      <c r="E281" s="51" t="s">
        <v>11</v>
      </c>
      <c r="F281" s="52" t="s">
        <v>18</v>
      </c>
      <c r="G281" s="48" t="s">
        <v>322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47">
        <v>46122.0</v>
      </c>
      <c r="B282" s="48" t="s">
        <v>145</v>
      </c>
      <c r="C282" s="49" t="s">
        <v>9</v>
      </c>
      <c r="D282" s="50">
        <v>250.0</v>
      </c>
      <c r="E282" s="51" t="s">
        <v>16</v>
      </c>
      <c r="F282" s="52" t="s">
        <v>10</v>
      </c>
      <c r="G282" s="48" t="s">
        <v>80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47">
        <v>46123.0</v>
      </c>
      <c r="B283" s="48" t="s">
        <v>36</v>
      </c>
      <c r="C283" s="49" t="s">
        <v>9</v>
      </c>
      <c r="D283" s="50">
        <v>900.0</v>
      </c>
      <c r="E283" s="51" t="s">
        <v>16</v>
      </c>
      <c r="F283" s="52" t="s">
        <v>10</v>
      </c>
      <c r="G283" s="48" t="s">
        <v>123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47">
        <v>46123.0</v>
      </c>
      <c r="B284" s="48" t="s">
        <v>323</v>
      </c>
      <c r="C284" s="49" t="s">
        <v>20</v>
      </c>
      <c r="D284" s="50">
        <v>700.0</v>
      </c>
      <c r="E284" s="51" t="s">
        <v>16</v>
      </c>
      <c r="F284" s="52" t="s">
        <v>18</v>
      </c>
      <c r="G284" s="48" t="s">
        <v>45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47">
        <v>46123.0</v>
      </c>
      <c r="B285" s="48" t="s">
        <v>89</v>
      </c>
      <c r="C285" s="49" t="s">
        <v>20</v>
      </c>
      <c r="D285" s="50">
        <v>450.0</v>
      </c>
      <c r="E285" s="51" t="s">
        <v>16</v>
      </c>
      <c r="F285" s="52" t="s">
        <v>18</v>
      </c>
      <c r="G285" s="48" t="s">
        <v>324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47">
        <v>46123.0</v>
      </c>
      <c r="B286" s="48" t="s">
        <v>48</v>
      </c>
      <c r="C286" s="49" t="s">
        <v>9</v>
      </c>
      <c r="D286" s="50">
        <v>280.0</v>
      </c>
      <c r="E286" s="51" t="s">
        <v>16</v>
      </c>
      <c r="F286" s="52" t="s">
        <v>10</v>
      </c>
      <c r="G286" s="48" t="s">
        <v>181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47">
        <v>46124.0</v>
      </c>
      <c r="B287" s="48" t="s">
        <v>201</v>
      </c>
      <c r="C287" s="49" t="s">
        <v>12</v>
      </c>
      <c r="D287" s="50">
        <v>3000.0</v>
      </c>
      <c r="E287" s="51" t="s">
        <v>21</v>
      </c>
      <c r="F287" s="52" t="s">
        <v>13</v>
      </c>
      <c r="G287" s="48" t="s">
        <v>269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47">
        <v>46124.0</v>
      </c>
      <c r="B288" s="48" t="s">
        <v>149</v>
      </c>
      <c r="C288" s="49" t="s">
        <v>20</v>
      </c>
      <c r="D288" s="50">
        <v>600.0</v>
      </c>
      <c r="E288" s="51" t="s">
        <v>16</v>
      </c>
      <c r="F288" s="52" t="s">
        <v>18</v>
      </c>
      <c r="G288" s="48" t="s">
        <v>182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47">
        <v>46124.0</v>
      </c>
      <c r="B289" s="48" t="s">
        <v>52</v>
      </c>
      <c r="C289" s="49" t="s">
        <v>9</v>
      </c>
      <c r="D289" s="50">
        <v>300.0</v>
      </c>
      <c r="E289" s="51" t="s">
        <v>16</v>
      </c>
      <c r="F289" s="52" t="s">
        <v>10</v>
      </c>
      <c r="G289" s="48" t="s">
        <v>53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47">
        <v>46124.0</v>
      </c>
      <c r="B290" s="48" t="s">
        <v>40</v>
      </c>
      <c r="C290" s="49" t="s">
        <v>20</v>
      </c>
      <c r="D290" s="50">
        <v>30.0</v>
      </c>
      <c r="E290" s="51" t="s">
        <v>19</v>
      </c>
      <c r="F290" s="52" t="s">
        <v>18</v>
      </c>
      <c r="G290" s="48" t="s">
        <v>41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53"/>
      <c r="B291" s="2"/>
      <c r="C291" s="2"/>
      <c r="D291" s="5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53"/>
      <c r="B292" s="2"/>
      <c r="C292" s="2"/>
      <c r="D292" s="5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53"/>
      <c r="B293" s="2"/>
      <c r="C293" s="2"/>
      <c r="D293" s="5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53"/>
      <c r="B294" s="2"/>
      <c r="C294" s="2"/>
      <c r="D294" s="5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53"/>
      <c r="B295" s="2"/>
      <c r="C295" s="2"/>
      <c r="D295" s="5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53"/>
      <c r="B296" s="2"/>
      <c r="C296" s="2"/>
      <c r="D296" s="5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53"/>
      <c r="B297" s="2"/>
      <c r="C297" s="2"/>
      <c r="D297" s="5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53"/>
      <c r="B298" s="2"/>
      <c r="C298" s="2"/>
      <c r="D298" s="5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53"/>
      <c r="B299" s="2"/>
      <c r="C299" s="2"/>
      <c r="D299" s="5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53"/>
      <c r="B300" s="2"/>
      <c r="C300" s="2"/>
      <c r="D300" s="5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53"/>
      <c r="B301" s="2"/>
      <c r="C301" s="2"/>
      <c r="D301" s="5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53"/>
      <c r="B302" s="2"/>
      <c r="C302" s="2"/>
      <c r="D302" s="5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53"/>
      <c r="B303" s="2"/>
      <c r="C303" s="2"/>
      <c r="D303" s="5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53"/>
      <c r="B304" s="2"/>
      <c r="C304" s="2"/>
      <c r="D304" s="5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53"/>
      <c r="B305" s="2"/>
      <c r="C305" s="2"/>
      <c r="D305" s="5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53"/>
      <c r="B306" s="2"/>
      <c r="C306" s="2"/>
      <c r="D306" s="5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53"/>
      <c r="B307" s="2"/>
      <c r="C307" s="2"/>
      <c r="D307" s="5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53"/>
      <c r="B308" s="2"/>
      <c r="C308" s="2"/>
      <c r="D308" s="5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53"/>
      <c r="B309" s="2"/>
      <c r="C309" s="2"/>
      <c r="D309" s="5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53"/>
      <c r="B310" s="2"/>
      <c r="C310" s="2"/>
      <c r="D310" s="5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53"/>
      <c r="B311" s="2"/>
      <c r="C311" s="2"/>
      <c r="D311" s="5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53"/>
      <c r="B312" s="2"/>
      <c r="C312" s="2"/>
      <c r="D312" s="5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53"/>
      <c r="B313" s="2"/>
      <c r="C313" s="2"/>
      <c r="D313" s="5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53"/>
      <c r="B314" s="2"/>
      <c r="C314" s="2"/>
      <c r="D314" s="5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53"/>
      <c r="B315" s="2"/>
      <c r="C315" s="2"/>
      <c r="D315" s="5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53"/>
      <c r="B316" s="2"/>
      <c r="C316" s="2"/>
      <c r="D316" s="5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53"/>
      <c r="B317" s="2"/>
      <c r="C317" s="2"/>
      <c r="D317" s="5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53"/>
      <c r="B318" s="2"/>
      <c r="C318" s="2"/>
      <c r="D318" s="5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53"/>
      <c r="B319" s="2"/>
      <c r="C319" s="2"/>
      <c r="D319" s="5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53"/>
      <c r="B320" s="2"/>
      <c r="C320" s="2"/>
      <c r="D320" s="5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53"/>
      <c r="B321" s="2"/>
      <c r="C321" s="2"/>
      <c r="D321" s="5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53"/>
      <c r="B322" s="2"/>
      <c r="C322" s="2"/>
      <c r="D322" s="5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53"/>
      <c r="B323" s="2"/>
      <c r="C323" s="2"/>
      <c r="D323" s="5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53"/>
      <c r="B324" s="2"/>
      <c r="C324" s="2"/>
      <c r="D324" s="5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53"/>
      <c r="B325" s="2"/>
      <c r="C325" s="2"/>
      <c r="D325" s="5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53"/>
      <c r="B326" s="2"/>
      <c r="C326" s="2"/>
      <c r="D326" s="5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53"/>
      <c r="B327" s="2"/>
      <c r="C327" s="2"/>
      <c r="D327" s="5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53"/>
      <c r="B328" s="2"/>
      <c r="C328" s="2"/>
      <c r="D328" s="5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53"/>
      <c r="B329" s="2"/>
      <c r="C329" s="2"/>
      <c r="D329" s="5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53"/>
      <c r="B330" s="2"/>
      <c r="C330" s="2"/>
      <c r="D330" s="5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53"/>
      <c r="B331" s="2"/>
      <c r="C331" s="2"/>
      <c r="D331" s="5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53"/>
      <c r="B332" s="2"/>
      <c r="C332" s="2"/>
      <c r="D332" s="5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53"/>
      <c r="B333" s="2"/>
      <c r="C333" s="2"/>
      <c r="D333" s="5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53"/>
      <c r="B334" s="2"/>
      <c r="C334" s="2"/>
      <c r="D334" s="5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53"/>
      <c r="B335" s="2"/>
      <c r="C335" s="2"/>
      <c r="D335" s="5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53"/>
      <c r="B336" s="2"/>
      <c r="C336" s="2"/>
      <c r="D336" s="5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53"/>
      <c r="B337" s="2"/>
      <c r="C337" s="2"/>
      <c r="D337" s="5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53"/>
      <c r="B338" s="2"/>
      <c r="C338" s="2"/>
      <c r="D338" s="5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53"/>
      <c r="B339" s="2"/>
      <c r="C339" s="2"/>
      <c r="D339" s="5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53"/>
      <c r="B340" s="2"/>
      <c r="C340" s="2"/>
      <c r="D340" s="5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53"/>
      <c r="B341" s="2"/>
      <c r="C341" s="2"/>
      <c r="D341" s="5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53"/>
      <c r="B342" s="2"/>
      <c r="C342" s="2"/>
      <c r="D342" s="5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53"/>
      <c r="B343" s="2"/>
      <c r="C343" s="2"/>
      <c r="D343" s="5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53"/>
      <c r="B344" s="2"/>
      <c r="C344" s="2"/>
      <c r="D344" s="5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53"/>
      <c r="B345" s="2"/>
      <c r="C345" s="2"/>
      <c r="D345" s="5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53"/>
      <c r="B346" s="2"/>
      <c r="C346" s="2"/>
      <c r="D346" s="5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53"/>
      <c r="B347" s="2"/>
      <c r="C347" s="2"/>
      <c r="D347" s="5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53"/>
      <c r="B348" s="2"/>
      <c r="C348" s="2"/>
      <c r="D348" s="5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53"/>
      <c r="B349" s="2"/>
      <c r="C349" s="2"/>
      <c r="D349" s="5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53"/>
      <c r="B350" s="2"/>
      <c r="C350" s="2"/>
      <c r="D350" s="5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53"/>
      <c r="B351" s="2"/>
      <c r="C351" s="2"/>
      <c r="D351" s="5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53"/>
      <c r="B352" s="2"/>
      <c r="C352" s="2"/>
      <c r="D352" s="5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53"/>
      <c r="B353" s="2"/>
      <c r="C353" s="2"/>
      <c r="D353" s="5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53"/>
      <c r="B354" s="2"/>
      <c r="C354" s="2"/>
      <c r="D354" s="5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53"/>
      <c r="B355" s="2"/>
      <c r="C355" s="2"/>
      <c r="D355" s="5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53"/>
      <c r="B356" s="2"/>
      <c r="C356" s="2"/>
      <c r="D356" s="5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53"/>
      <c r="B357" s="2"/>
      <c r="C357" s="2"/>
      <c r="D357" s="5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53"/>
      <c r="B358" s="2"/>
      <c r="C358" s="2"/>
      <c r="D358" s="5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53"/>
      <c r="B359" s="2"/>
      <c r="C359" s="2"/>
      <c r="D359" s="5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53"/>
      <c r="B360" s="2"/>
      <c r="C360" s="2"/>
      <c r="D360" s="5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53"/>
      <c r="B361" s="2"/>
      <c r="C361" s="2"/>
      <c r="D361" s="5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53"/>
      <c r="B362" s="2"/>
      <c r="C362" s="2"/>
      <c r="D362" s="5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53"/>
      <c r="B363" s="2"/>
      <c r="C363" s="2"/>
      <c r="D363" s="5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53"/>
      <c r="B364" s="2"/>
      <c r="C364" s="2"/>
      <c r="D364" s="5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53"/>
      <c r="B365" s="2"/>
      <c r="C365" s="2"/>
      <c r="D365" s="5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53"/>
      <c r="B366" s="2"/>
      <c r="C366" s="2"/>
      <c r="D366" s="5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53"/>
      <c r="B367" s="2"/>
      <c r="C367" s="2"/>
      <c r="D367" s="5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53"/>
      <c r="B368" s="2"/>
      <c r="C368" s="2"/>
      <c r="D368" s="5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53"/>
      <c r="B369" s="2"/>
      <c r="C369" s="2"/>
      <c r="D369" s="5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53"/>
      <c r="B370" s="2"/>
      <c r="C370" s="2"/>
      <c r="D370" s="5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53"/>
      <c r="B371" s="2"/>
      <c r="C371" s="2"/>
      <c r="D371" s="5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53"/>
      <c r="B372" s="2"/>
      <c r="C372" s="2"/>
      <c r="D372" s="5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53"/>
      <c r="B373" s="2"/>
      <c r="C373" s="2"/>
      <c r="D373" s="5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53"/>
      <c r="B374" s="2"/>
      <c r="C374" s="2"/>
      <c r="D374" s="5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53"/>
      <c r="B375" s="2"/>
      <c r="C375" s="2"/>
      <c r="D375" s="5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53"/>
      <c r="B376" s="2"/>
      <c r="C376" s="2"/>
      <c r="D376" s="5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53"/>
      <c r="B377" s="2"/>
      <c r="C377" s="2"/>
      <c r="D377" s="5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53"/>
      <c r="B378" s="2"/>
      <c r="C378" s="2"/>
      <c r="D378" s="5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53"/>
      <c r="B379" s="2"/>
      <c r="C379" s="2"/>
      <c r="D379" s="5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53"/>
      <c r="B380" s="2"/>
      <c r="C380" s="2"/>
      <c r="D380" s="5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53"/>
      <c r="B381" s="2"/>
      <c r="C381" s="2"/>
      <c r="D381" s="5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53"/>
      <c r="B382" s="2"/>
      <c r="C382" s="2"/>
      <c r="D382" s="5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53"/>
      <c r="B383" s="2"/>
      <c r="C383" s="2"/>
      <c r="D383" s="5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53"/>
      <c r="B384" s="2"/>
      <c r="C384" s="2"/>
      <c r="D384" s="5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53"/>
      <c r="B385" s="2"/>
      <c r="C385" s="2"/>
      <c r="D385" s="5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53"/>
      <c r="B386" s="2"/>
      <c r="C386" s="2"/>
      <c r="D386" s="5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53"/>
      <c r="B387" s="2"/>
      <c r="C387" s="2"/>
      <c r="D387" s="5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53"/>
      <c r="B388" s="2"/>
      <c r="C388" s="2"/>
      <c r="D388" s="5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53"/>
      <c r="B389" s="2"/>
      <c r="C389" s="2"/>
      <c r="D389" s="5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53"/>
      <c r="B390" s="2"/>
      <c r="C390" s="2"/>
      <c r="D390" s="5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53"/>
      <c r="B391" s="2"/>
      <c r="C391" s="2"/>
      <c r="D391" s="5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53"/>
      <c r="B392" s="2"/>
      <c r="C392" s="2"/>
      <c r="D392" s="5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53"/>
      <c r="B393" s="2"/>
      <c r="C393" s="2"/>
      <c r="D393" s="5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53"/>
      <c r="B394" s="2"/>
      <c r="C394" s="2"/>
      <c r="D394" s="5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53"/>
      <c r="B395" s="2"/>
      <c r="C395" s="2"/>
      <c r="D395" s="5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53"/>
      <c r="B396" s="2"/>
      <c r="C396" s="2"/>
      <c r="D396" s="5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53"/>
      <c r="B397" s="2"/>
      <c r="C397" s="2"/>
      <c r="D397" s="5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53"/>
      <c r="B398" s="2"/>
      <c r="C398" s="2"/>
      <c r="D398" s="5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53"/>
      <c r="B399" s="2"/>
      <c r="C399" s="2"/>
      <c r="D399" s="5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53"/>
      <c r="B400" s="2"/>
      <c r="C400" s="2"/>
      <c r="D400" s="5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53"/>
      <c r="B401" s="2"/>
      <c r="C401" s="2"/>
      <c r="D401" s="5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53"/>
      <c r="B402" s="2"/>
      <c r="C402" s="2"/>
      <c r="D402" s="5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53"/>
      <c r="B403" s="2"/>
      <c r="C403" s="2"/>
      <c r="D403" s="5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53"/>
      <c r="B404" s="2"/>
      <c r="C404" s="2"/>
      <c r="D404" s="5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53"/>
      <c r="B405" s="2"/>
      <c r="C405" s="2"/>
      <c r="D405" s="5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53"/>
      <c r="B406" s="2"/>
      <c r="C406" s="2"/>
      <c r="D406" s="5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53"/>
      <c r="B407" s="2"/>
      <c r="C407" s="2"/>
      <c r="D407" s="5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53"/>
      <c r="B408" s="2"/>
      <c r="C408" s="2"/>
      <c r="D408" s="5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53"/>
      <c r="B409" s="2"/>
      <c r="C409" s="2"/>
      <c r="D409" s="5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53"/>
      <c r="B410" s="2"/>
      <c r="C410" s="2"/>
      <c r="D410" s="5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53"/>
      <c r="B411" s="2"/>
      <c r="C411" s="2"/>
      <c r="D411" s="5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53"/>
      <c r="B412" s="2"/>
      <c r="C412" s="2"/>
      <c r="D412" s="5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53"/>
      <c r="B413" s="2"/>
      <c r="C413" s="2"/>
      <c r="D413" s="5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53"/>
      <c r="B414" s="2"/>
      <c r="C414" s="2"/>
      <c r="D414" s="5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53"/>
      <c r="B415" s="2"/>
      <c r="C415" s="2"/>
      <c r="D415" s="5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53"/>
      <c r="B416" s="2"/>
      <c r="C416" s="2"/>
      <c r="D416" s="5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53"/>
      <c r="B417" s="2"/>
      <c r="C417" s="2"/>
      <c r="D417" s="5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53"/>
      <c r="B418" s="2"/>
      <c r="C418" s="2"/>
      <c r="D418" s="5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53"/>
      <c r="B419" s="2"/>
      <c r="C419" s="2"/>
      <c r="D419" s="5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53"/>
      <c r="B420" s="2"/>
      <c r="C420" s="2"/>
      <c r="D420" s="5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53"/>
      <c r="B421" s="2"/>
      <c r="C421" s="2"/>
      <c r="D421" s="5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53"/>
      <c r="B422" s="2"/>
      <c r="C422" s="2"/>
      <c r="D422" s="5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53"/>
      <c r="B423" s="2"/>
      <c r="C423" s="2"/>
      <c r="D423" s="5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53"/>
      <c r="B424" s="2"/>
      <c r="C424" s="2"/>
      <c r="D424" s="5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53"/>
      <c r="B425" s="2"/>
      <c r="C425" s="2"/>
      <c r="D425" s="5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53"/>
      <c r="B426" s="2"/>
      <c r="C426" s="2"/>
      <c r="D426" s="5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53"/>
      <c r="B427" s="2"/>
      <c r="C427" s="2"/>
      <c r="D427" s="5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53"/>
      <c r="B428" s="2"/>
      <c r="C428" s="2"/>
      <c r="D428" s="5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53"/>
      <c r="B429" s="2"/>
      <c r="C429" s="2"/>
      <c r="D429" s="5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53"/>
      <c r="B430" s="2"/>
      <c r="C430" s="2"/>
      <c r="D430" s="5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53"/>
      <c r="B431" s="2"/>
      <c r="C431" s="2"/>
      <c r="D431" s="5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53"/>
      <c r="B432" s="2"/>
      <c r="C432" s="2"/>
      <c r="D432" s="5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53"/>
      <c r="B433" s="2"/>
      <c r="C433" s="2"/>
      <c r="D433" s="5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53"/>
      <c r="B434" s="2"/>
      <c r="C434" s="2"/>
      <c r="D434" s="5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53"/>
      <c r="B435" s="2"/>
      <c r="C435" s="2"/>
      <c r="D435" s="5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53"/>
      <c r="B436" s="2"/>
      <c r="C436" s="2"/>
      <c r="D436" s="5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53"/>
      <c r="B437" s="2"/>
      <c r="C437" s="2"/>
      <c r="D437" s="5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53"/>
      <c r="B438" s="2"/>
      <c r="C438" s="2"/>
      <c r="D438" s="5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53"/>
      <c r="B439" s="2"/>
      <c r="C439" s="2"/>
      <c r="D439" s="5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53"/>
      <c r="B440" s="2"/>
      <c r="C440" s="2"/>
      <c r="D440" s="5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53"/>
      <c r="B441" s="2"/>
      <c r="C441" s="2"/>
      <c r="D441" s="5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53"/>
      <c r="B442" s="2"/>
      <c r="C442" s="2"/>
      <c r="D442" s="5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53"/>
      <c r="B443" s="2"/>
      <c r="C443" s="2"/>
      <c r="D443" s="5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53"/>
      <c r="B444" s="2"/>
      <c r="C444" s="2"/>
      <c r="D444" s="5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53"/>
      <c r="B445" s="2"/>
      <c r="C445" s="2"/>
      <c r="D445" s="5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53"/>
      <c r="B446" s="2"/>
      <c r="C446" s="2"/>
      <c r="D446" s="5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53"/>
      <c r="B447" s="2"/>
      <c r="C447" s="2"/>
      <c r="D447" s="5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53"/>
      <c r="B448" s="2"/>
      <c r="C448" s="2"/>
      <c r="D448" s="5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53"/>
      <c r="B449" s="2"/>
      <c r="C449" s="2"/>
      <c r="D449" s="5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53"/>
      <c r="B450" s="2"/>
      <c r="C450" s="2"/>
      <c r="D450" s="5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53"/>
      <c r="B451" s="2"/>
      <c r="C451" s="2"/>
      <c r="D451" s="5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53"/>
      <c r="B452" s="2"/>
      <c r="C452" s="2"/>
      <c r="D452" s="5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53"/>
      <c r="B453" s="2"/>
      <c r="C453" s="2"/>
      <c r="D453" s="5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53"/>
      <c r="B454" s="2"/>
      <c r="C454" s="2"/>
      <c r="D454" s="5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53"/>
      <c r="B455" s="2"/>
      <c r="C455" s="2"/>
      <c r="D455" s="5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53"/>
      <c r="B456" s="2"/>
      <c r="C456" s="2"/>
      <c r="D456" s="5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53"/>
      <c r="B457" s="2"/>
      <c r="C457" s="2"/>
      <c r="D457" s="5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53"/>
      <c r="B458" s="2"/>
      <c r="C458" s="2"/>
      <c r="D458" s="5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53"/>
      <c r="B459" s="2"/>
      <c r="C459" s="2"/>
      <c r="D459" s="5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53"/>
      <c r="B460" s="2"/>
      <c r="C460" s="2"/>
      <c r="D460" s="5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53"/>
      <c r="B461" s="2"/>
      <c r="C461" s="2"/>
      <c r="D461" s="5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53"/>
      <c r="B462" s="2"/>
      <c r="C462" s="2"/>
      <c r="D462" s="5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53"/>
      <c r="B463" s="2"/>
      <c r="C463" s="2"/>
      <c r="D463" s="5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53"/>
      <c r="B464" s="2"/>
      <c r="C464" s="2"/>
      <c r="D464" s="5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53"/>
      <c r="B465" s="2"/>
      <c r="C465" s="2"/>
      <c r="D465" s="5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53"/>
      <c r="B466" s="2"/>
      <c r="C466" s="2"/>
      <c r="D466" s="5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53"/>
      <c r="B467" s="2"/>
      <c r="C467" s="2"/>
      <c r="D467" s="5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53"/>
      <c r="B468" s="2"/>
      <c r="C468" s="2"/>
      <c r="D468" s="5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53"/>
      <c r="B469" s="2"/>
      <c r="C469" s="2"/>
      <c r="D469" s="5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53"/>
      <c r="B470" s="2"/>
      <c r="C470" s="2"/>
      <c r="D470" s="5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53"/>
      <c r="B471" s="2"/>
      <c r="C471" s="2"/>
      <c r="D471" s="5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53"/>
      <c r="B472" s="2"/>
      <c r="C472" s="2"/>
      <c r="D472" s="5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53"/>
      <c r="B473" s="2"/>
      <c r="C473" s="2"/>
      <c r="D473" s="5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53"/>
      <c r="B474" s="2"/>
      <c r="C474" s="2"/>
      <c r="D474" s="5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53"/>
      <c r="B475" s="2"/>
      <c r="C475" s="2"/>
      <c r="D475" s="5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53"/>
      <c r="B476" s="2"/>
      <c r="C476" s="2"/>
      <c r="D476" s="5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53"/>
      <c r="B477" s="2"/>
      <c r="C477" s="2"/>
      <c r="D477" s="5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53"/>
      <c r="B478" s="2"/>
      <c r="C478" s="2"/>
      <c r="D478" s="5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53"/>
      <c r="B479" s="2"/>
      <c r="C479" s="2"/>
      <c r="D479" s="5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53"/>
      <c r="B480" s="2"/>
      <c r="C480" s="2"/>
      <c r="D480" s="5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53"/>
      <c r="B481" s="2"/>
      <c r="C481" s="2"/>
      <c r="D481" s="5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53"/>
      <c r="B482" s="2"/>
      <c r="C482" s="2"/>
      <c r="D482" s="5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53"/>
      <c r="B483" s="2"/>
      <c r="C483" s="2"/>
      <c r="D483" s="5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53"/>
      <c r="B484" s="2"/>
      <c r="C484" s="2"/>
      <c r="D484" s="5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53"/>
      <c r="B485" s="2"/>
      <c r="C485" s="2"/>
      <c r="D485" s="5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53"/>
      <c r="B486" s="2"/>
      <c r="C486" s="2"/>
      <c r="D486" s="5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53"/>
      <c r="B487" s="2"/>
      <c r="C487" s="2"/>
      <c r="D487" s="5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53"/>
      <c r="B488" s="2"/>
      <c r="C488" s="2"/>
      <c r="D488" s="5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53"/>
      <c r="B489" s="2"/>
      <c r="C489" s="2"/>
      <c r="D489" s="5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53"/>
      <c r="B490" s="2"/>
      <c r="C490" s="2"/>
      <c r="D490" s="5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53"/>
      <c r="B491" s="2"/>
      <c r="C491" s="2"/>
      <c r="D491" s="5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53"/>
      <c r="B492" s="2"/>
      <c r="C492" s="2"/>
      <c r="D492" s="5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53"/>
      <c r="B493" s="2"/>
      <c r="C493" s="2"/>
      <c r="D493" s="5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53"/>
      <c r="B494" s="2"/>
      <c r="C494" s="2"/>
      <c r="D494" s="5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53"/>
      <c r="B495" s="2"/>
      <c r="C495" s="2"/>
      <c r="D495" s="5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53"/>
      <c r="B496" s="2"/>
      <c r="C496" s="2"/>
      <c r="D496" s="5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53"/>
      <c r="B497" s="2"/>
      <c r="C497" s="2"/>
      <c r="D497" s="5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53"/>
      <c r="B498" s="2"/>
      <c r="C498" s="2"/>
      <c r="D498" s="5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53"/>
      <c r="B499" s="2"/>
      <c r="C499" s="2"/>
      <c r="D499" s="5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53"/>
      <c r="B500" s="2"/>
      <c r="C500" s="2"/>
      <c r="D500" s="5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53"/>
      <c r="B501" s="2"/>
      <c r="C501" s="2"/>
      <c r="D501" s="5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53"/>
      <c r="B502" s="2"/>
      <c r="C502" s="2"/>
      <c r="D502" s="5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53"/>
      <c r="B503" s="2"/>
      <c r="C503" s="2"/>
      <c r="D503" s="5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53"/>
      <c r="B504" s="2"/>
      <c r="C504" s="2"/>
      <c r="D504" s="5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53"/>
      <c r="B505" s="2"/>
      <c r="C505" s="2"/>
      <c r="D505" s="5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53"/>
      <c r="B506" s="2"/>
      <c r="C506" s="2"/>
      <c r="D506" s="5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53"/>
      <c r="B507" s="2"/>
      <c r="C507" s="2"/>
      <c r="D507" s="5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53"/>
      <c r="B508" s="2"/>
      <c r="C508" s="2"/>
      <c r="D508" s="5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53"/>
      <c r="B509" s="2"/>
      <c r="C509" s="2"/>
      <c r="D509" s="5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53"/>
      <c r="B510" s="2"/>
      <c r="C510" s="2"/>
      <c r="D510" s="5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53"/>
      <c r="B511" s="2"/>
      <c r="C511" s="2"/>
      <c r="D511" s="5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53"/>
      <c r="B512" s="2"/>
      <c r="C512" s="2"/>
      <c r="D512" s="5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53"/>
      <c r="B513" s="2"/>
      <c r="C513" s="2"/>
      <c r="D513" s="5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53"/>
      <c r="B514" s="2"/>
      <c r="C514" s="2"/>
      <c r="D514" s="5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53"/>
      <c r="B515" s="2"/>
      <c r="C515" s="2"/>
      <c r="D515" s="5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53"/>
      <c r="B516" s="2"/>
      <c r="C516" s="2"/>
      <c r="D516" s="5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53"/>
      <c r="B517" s="2"/>
      <c r="C517" s="2"/>
      <c r="D517" s="5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53"/>
      <c r="B518" s="2"/>
      <c r="C518" s="2"/>
      <c r="D518" s="5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53"/>
      <c r="B519" s="2"/>
      <c r="C519" s="2"/>
      <c r="D519" s="5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53"/>
      <c r="B520" s="2"/>
      <c r="C520" s="2"/>
      <c r="D520" s="5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53"/>
      <c r="B521" s="2"/>
      <c r="C521" s="2"/>
      <c r="D521" s="5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53"/>
      <c r="B522" s="2"/>
      <c r="C522" s="2"/>
      <c r="D522" s="5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53"/>
      <c r="B523" s="2"/>
      <c r="C523" s="2"/>
      <c r="D523" s="5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53"/>
      <c r="B524" s="2"/>
      <c r="C524" s="2"/>
      <c r="D524" s="5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53"/>
      <c r="B525" s="2"/>
      <c r="C525" s="2"/>
      <c r="D525" s="5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53"/>
      <c r="B526" s="2"/>
      <c r="C526" s="2"/>
      <c r="D526" s="5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53"/>
      <c r="B527" s="2"/>
      <c r="C527" s="2"/>
      <c r="D527" s="5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53"/>
      <c r="B528" s="2"/>
      <c r="C528" s="2"/>
      <c r="D528" s="5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53"/>
      <c r="B529" s="2"/>
      <c r="C529" s="2"/>
      <c r="D529" s="5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53"/>
      <c r="B530" s="2"/>
      <c r="C530" s="2"/>
      <c r="D530" s="5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53"/>
      <c r="B531" s="2"/>
      <c r="C531" s="2"/>
      <c r="D531" s="5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53"/>
      <c r="B532" s="2"/>
      <c r="C532" s="2"/>
      <c r="D532" s="5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53"/>
      <c r="B533" s="2"/>
      <c r="C533" s="2"/>
      <c r="D533" s="5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53"/>
      <c r="B534" s="2"/>
      <c r="C534" s="2"/>
      <c r="D534" s="5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53"/>
      <c r="B535" s="2"/>
      <c r="C535" s="2"/>
      <c r="D535" s="5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53"/>
      <c r="B536" s="2"/>
      <c r="C536" s="2"/>
      <c r="D536" s="5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53"/>
      <c r="B537" s="2"/>
      <c r="C537" s="2"/>
      <c r="D537" s="5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53"/>
      <c r="B538" s="2"/>
      <c r="C538" s="2"/>
      <c r="D538" s="5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53"/>
      <c r="B539" s="2"/>
      <c r="C539" s="2"/>
      <c r="D539" s="5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53"/>
      <c r="B540" s="2"/>
      <c r="C540" s="2"/>
      <c r="D540" s="5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53"/>
      <c r="B541" s="2"/>
      <c r="C541" s="2"/>
      <c r="D541" s="5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53"/>
      <c r="B542" s="2"/>
      <c r="C542" s="2"/>
      <c r="D542" s="5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53"/>
      <c r="B543" s="2"/>
      <c r="C543" s="2"/>
      <c r="D543" s="5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53"/>
      <c r="B544" s="2"/>
      <c r="C544" s="2"/>
      <c r="D544" s="5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53"/>
      <c r="B545" s="2"/>
      <c r="C545" s="2"/>
      <c r="D545" s="5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53"/>
      <c r="B546" s="2"/>
      <c r="C546" s="2"/>
      <c r="D546" s="5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53"/>
      <c r="B547" s="2"/>
      <c r="C547" s="2"/>
      <c r="D547" s="5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53"/>
      <c r="B548" s="2"/>
      <c r="C548" s="2"/>
      <c r="D548" s="5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53"/>
      <c r="B549" s="2"/>
      <c r="C549" s="2"/>
      <c r="D549" s="5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53"/>
      <c r="B550" s="2"/>
      <c r="C550" s="2"/>
      <c r="D550" s="5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53"/>
      <c r="B551" s="2"/>
      <c r="C551" s="2"/>
      <c r="D551" s="5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53"/>
      <c r="B552" s="2"/>
      <c r="C552" s="2"/>
      <c r="D552" s="5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53"/>
      <c r="B553" s="2"/>
      <c r="C553" s="2"/>
      <c r="D553" s="5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53"/>
      <c r="B554" s="2"/>
      <c r="C554" s="2"/>
      <c r="D554" s="5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53"/>
      <c r="B555" s="2"/>
      <c r="C555" s="2"/>
      <c r="D555" s="5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53"/>
      <c r="B556" s="2"/>
      <c r="C556" s="2"/>
      <c r="D556" s="5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53"/>
      <c r="B557" s="2"/>
      <c r="C557" s="2"/>
      <c r="D557" s="5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53"/>
      <c r="B558" s="2"/>
      <c r="C558" s="2"/>
      <c r="D558" s="5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53"/>
      <c r="B559" s="2"/>
      <c r="C559" s="2"/>
      <c r="D559" s="5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53"/>
      <c r="B560" s="2"/>
      <c r="C560" s="2"/>
      <c r="D560" s="5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53"/>
      <c r="B561" s="2"/>
      <c r="C561" s="2"/>
      <c r="D561" s="5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53"/>
      <c r="B562" s="2"/>
      <c r="C562" s="2"/>
      <c r="D562" s="5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53"/>
      <c r="B563" s="2"/>
      <c r="C563" s="2"/>
      <c r="D563" s="5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53"/>
      <c r="B564" s="2"/>
      <c r="C564" s="2"/>
      <c r="D564" s="5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53"/>
      <c r="B565" s="2"/>
      <c r="C565" s="2"/>
      <c r="D565" s="5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53"/>
      <c r="B566" s="2"/>
      <c r="C566" s="2"/>
      <c r="D566" s="5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53"/>
      <c r="B567" s="2"/>
      <c r="C567" s="2"/>
      <c r="D567" s="5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53"/>
      <c r="B568" s="2"/>
      <c r="C568" s="2"/>
      <c r="D568" s="5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53"/>
      <c r="B569" s="2"/>
      <c r="C569" s="2"/>
      <c r="D569" s="5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53"/>
      <c r="B570" s="2"/>
      <c r="C570" s="2"/>
      <c r="D570" s="5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53"/>
      <c r="B571" s="2"/>
      <c r="C571" s="2"/>
      <c r="D571" s="5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53"/>
      <c r="B572" s="2"/>
      <c r="C572" s="2"/>
      <c r="D572" s="5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53"/>
      <c r="B573" s="2"/>
      <c r="C573" s="2"/>
      <c r="D573" s="5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53"/>
      <c r="B574" s="2"/>
      <c r="C574" s="2"/>
      <c r="D574" s="5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53"/>
      <c r="B575" s="2"/>
      <c r="C575" s="2"/>
      <c r="D575" s="5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53"/>
      <c r="B576" s="2"/>
      <c r="C576" s="2"/>
      <c r="D576" s="5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53"/>
      <c r="B577" s="2"/>
      <c r="C577" s="2"/>
      <c r="D577" s="5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53"/>
      <c r="B578" s="2"/>
      <c r="C578" s="2"/>
      <c r="D578" s="5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53"/>
      <c r="B579" s="2"/>
      <c r="C579" s="2"/>
      <c r="D579" s="5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53"/>
      <c r="B580" s="2"/>
      <c r="C580" s="2"/>
      <c r="D580" s="5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53"/>
      <c r="B581" s="2"/>
      <c r="C581" s="2"/>
      <c r="D581" s="5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53"/>
      <c r="B582" s="2"/>
      <c r="C582" s="2"/>
      <c r="D582" s="5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53"/>
      <c r="B583" s="2"/>
      <c r="C583" s="2"/>
      <c r="D583" s="5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53"/>
      <c r="B584" s="2"/>
      <c r="C584" s="2"/>
      <c r="D584" s="5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53"/>
      <c r="B585" s="2"/>
      <c r="C585" s="2"/>
      <c r="D585" s="5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53"/>
      <c r="B586" s="2"/>
      <c r="C586" s="2"/>
      <c r="D586" s="5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53"/>
      <c r="B587" s="2"/>
      <c r="C587" s="2"/>
      <c r="D587" s="5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53"/>
      <c r="B588" s="2"/>
      <c r="C588" s="2"/>
      <c r="D588" s="5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53"/>
      <c r="B589" s="2"/>
      <c r="C589" s="2"/>
      <c r="D589" s="5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53"/>
      <c r="B590" s="2"/>
      <c r="C590" s="2"/>
      <c r="D590" s="5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53"/>
      <c r="B591" s="2"/>
      <c r="C591" s="2"/>
      <c r="D591" s="5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53"/>
      <c r="B592" s="2"/>
      <c r="C592" s="2"/>
      <c r="D592" s="5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53"/>
      <c r="B593" s="2"/>
      <c r="C593" s="2"/>
      <c r="D593" s="5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53"/>
      <c r="B594" s="2"/>
      <c r="C594" s="2"/>
      <c r="D594" s="5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53"/>
      <c r="B595" s="2"/>
      <c r="C595" s="2"/>
      <c r="D595" s="5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53"/>
      <c r="B596" s="2"/>
      <c r="C596" s="2"/>
      <c r="D596" s="5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53"/>
      <c r="B597" s="2"/>
      <c r="C597" s="2"/>
      <c r="D597" s="5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53"/>
      <c r="B598" s="2"/>
      <c r="C598" s="2"/>
      <c r="D598" s="5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53"/>
      <c r="B599" s="2"/>
      <c r="C599" s="2"/>
      <c r="D599" s="5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53"/>
      <c r="B600" s="2"/>
      <c r="C600" s="2"/>
      <c r="D600" s="5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53"/>
      <c r="B601" s="2"/>
      <c r="C601" s="2"/>
      <c r="D601" s="5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53"/>
      <c r="B602" s="2"/>
      <c r="C602" s="2"/>
      <c r="D602" s="5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53"/>
      <c r="B603" s="2"/>
      <c r="C603" s="2"/>
      <c r="D603" s="5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53"/>
      <c r="B604" s="2"/>
      <c r="C604" s="2"/>
      <c r="D604" s="5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53"/>
      <c r="B605" s="2"/>
      <c r="C605" s="2"/>
      <c r="D605" s="5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53"/>
      <c r="B606" s="2"/>
      <c r="C606" s="2"/>
      <c r="D606" s="5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53"/>
      <c r="B607" s="2"/>
      <c r="C607" s="2"/>
      <c r="D607" s="5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53"/>
      <c r="B608" s="2"/>
      <c r="C608" s="2"/>
      <c r="D608" s="5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53"/>
      <c r="B609" s="2"/>
      <c r="C609" s="2"/>
      <c r="D609" s="5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53"/>
      <c r="B610" s="2"/>
      <c r="C610" s="2"/>
      <c r="D610" s="5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53"/>
      <c r="B611" s="2"/>
      <c r="C611" s="2"/>
      <c r="D611" s="5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53"/>
      <c r="B612" s="2"/>
      <c r="C612" s="2"/>
      <c r="D612" s="5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53"/>
      <c r="B613" s="2"/>
      <c r="C613" s="2"/>
      <c r="D613" s="5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53"/>
      <c r="B614" s="2"/>
      <c r="C614" s="2"/>
      <c r="D614" s="5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53"/>
      <c r="B615" s="2"/>
      <c r="C615" s="2"/>
      <c r="D615" s="5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53"/>
      <c r="B616" s="2"/>
      <c r="C616" s="2"/>
      <c r="D616" s="5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53"/>
      <c r="B617" s="2"/>
      <c r="C617" s="2"/>
      <c r="D617" s="5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53"/>
      <c r="B618" s="2"/>
      <c r="C618" s="2"/>
      <c r="D618" s="5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53"/>
      <c r="B619" s="2"/>
      <c r="C619" s="2"/>
      <c r="D619" s="5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53"/>
      <c r="B620" s="2"/>
      <c r="C620" s="2"/>
      <c r="D620" s="5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53"/>
      <c r="B621" s="2"/>
      <c r="C621" s="2"/>
      <c r="D621" s="5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53"/>
      <c r="B622" s="2"/>
      <c r="C622" s="2"/>
      <c r="D622" s="5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53"/>
      <c r="B623" s="2"/>
      <c r="C623" s="2"/>
      <c r="D623" s="5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53"/>
      <c r="B624" s="2"/>
      <c r="C624" s="2"/>
      <c r="D624" s="5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53"/>
      <c r="B625" s="2"/>
      <c r="C625" s="2"/>
      <c r="D625" s="5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53"/>
      <c r="B626" s="2"/>
      <c r="C626" s="2"/>
      <c r="D626" s="5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53"/>
      <c r="B627" s="2"/>
      <c r="C627" s="2"/>
      <c r="D627" s="5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53"/>
      <c r="B628" s="2"/>
      <c r="C628" s="2"/>
      <c r="D628" s="5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53"/>
      <c r="B629" s="2"/>
      <c r="C629" s="2"/>
      <c r="D629" s="5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53"/>
      <c r="B630" s="2"/>
      <c r="C630" s="2"/>
      <c r="D630" s="5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53"/>
      <c r="B631" s="2"/>
      <c r="C631" s="2"/>
      <c r="D631" s="5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53"/>
      <c r="B632" s="2"/>
      <c r="C632" s="2"/>
      <c r="D632" s="5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53"/>
      <c r="B633" s="2"/>
      <c r="C633" s="2"/>
      <c r="D633" s="5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53"/>
      <c r="B634" s="2"/>
      <c r="C634" s="2"/>
      <c r="D634" s="5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53"/>
      <c r="B635" s="2"/>
      <c r="C635" s="2"/>
      <c r="D635" s="5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53"/>
      <c r="B636" s="2"/>
      <c r="C636" s="2"/>
      <c r="D636" s="5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53"/>
      <c r="B637" s="2"/>
      <c r="C637" s="2"/>
      <c r="D637" s="5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53"/>
      <c r="B638" s="2"/>
      <c r="C638" s="2"/>
      <c r="D638" s="5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53"/>
      <c r="B639" s="2"/>
      <c r="C639" s="2"/>
      <c r="D639" s="5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53"/>
      <c r="B640" s="2"/>
      <c r="C640" s="2"/>
      <c r="D640" s="5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53"/>
      <c r="B641" s="2"/>
      <c r="C641" s="2"/>
      <c r="D641" s="5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53"/>
      <c r="B642" s="2"/>
      <c r="C642" s="2"/>
      <c r="D642" s="5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53"/>
      <c r="B643" s="2"/>
      <c r="C643" s="2"/>
      <c r="D643" s="5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53"/>
      <c r="B644" s="2"/>
      <c r="C644" s="2"/>
      <c r="D644" s="5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53"/>
      <c r="B645" s="2"/>
      <c r="C645" s="2"/>
      <c r="D645" s="5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53"/>
      <c r="B646" s="2"/>
      <c r="C646" s="2"/>
      <c r="D646" s="5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53"/>
      <c r="B647" s="2"/>
      <c r="C647" s="2"/>
      <c r="D647" s="5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53"/>
      <c r="B648" s="2"/>
      <c r="C648" s="2"/>
      <c r="D648" s="5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53"/>
      <c r="B649" s="2"/>
      <c r="C649" s="2"/>
      <c r="D649" s="5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53"/>
      <c r="B650" s="2"/>
      <c r="C650" s="2"/>
      <c r="D650" s="5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53"/>
      <c r="B651" s="2"/>
      <c r="C651" s="2"/>
      <c r="D651" s="5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53"/>
      <c r="B652" s="2"/>
      <c r="C652" s="2"/>
      <c r="D652" s="5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53"/>
      <c r="B653" s="2"/>
      <c r="C653" s="2"/>
      <c r="D653" s="5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53"/>
      <c r="B654" s="2"/>
      <c r="C654" s="2"/>
      <c r="D654" s="5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53"/>
      <c r="B655" s="2"/>
      <c r="C655" s="2"/>
      <c r="D655" s="5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53"/>
      <c r="B656" s="2"/>
      <c r="C656" s="2"/>
      <c r="D656" s="5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53"/>
      <c r="B657" s="2"/>
      <c r="C657" s="2"/>
      <c r="D657" s="5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53"/>
      <c r="B658" s="2"/>
      <c r="C658" s="2"/>
      <c r="D658" s="5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53"/>
      <c r="B659" s="2"/>
      <c r="C659" s="2"/>
      <c r="D659" s="5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53"/>
      <c r="B660" s="2"/>
      <c r="C660" s="2"/>
      <c r="D660" s="5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53"/>
      <c r="B661" s="2"/>
      <c r="C661" s="2"/>
      <c r="D661" s="5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53"/>
      <c r="B662" s="2"/>
      <c r="C662" s="2"/>
      <c r="D662" s="5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53"/>
      <c r="B663" s="2"/>
      <c r="C663" s="2"/>
      <c r="D663" s="5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53"/>
      <c r="B664" s="2"/>
      <c r="C664" s="2"/>
      <c r="D664" s="5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53"/>
      <c r="B665" s="2"/>
      <c r="C665" s="2"/>
      <c r="D665" s="5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53"/>
      <c r="B666" s="2"/>
      <c r="C666" s="2"/>
      <c r="D666" s="5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53"/>
      <c r="B667" s="2"/>
      <c r="C667" s="2"/>
      <c r="D667" s="5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53"/>
      <c r="B668" s="2"/>
      <c r="C668" s="2"/>
      <c r="D668" s="5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53"/>
      <c r="B669" s="2"/>
      <c r="C669" s="2"/>
      <c r="D669" s="5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53"/>
      <c r="B670" s="2"/>
      <c r="C670" s="2"/>
      <c r="D670" s="5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53"/>
      <c r="B671" s="2"/>
      <c r="C671" s="2"/>
      <c r="D671" s="5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53"/>
      <c r="B672" s="2"/>
      <c r="C672" s="2"/>
      <c r="D672" s="5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53"/>
      <c r="B673" s="2"/>
      <c r="C673" s="2"/>
      <c r="D673" s="5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53"/>
      <c r="B674" s="2"/>
      <c r="C674" s="2"/>
      <c r="D674" s="5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53"/>
      <c r="B675" s="2"/>
      <c r="C675" s="2"/>
      <c r="D675" s="5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53"/>
      <c r="B676" s="2"/>
      <c r="C676" s="2"/>
      <c r="D676" s="5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53"/>
      <c r="B677" s="2"/>
      <c r="C677" s="2"/>
      <c r="D677" s="5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53"/>
      <c r="B678" s="2"/>
      <c r="C678" s="2"/>
      <c r="D678" s="5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53"/>
      <c r="B679" s="2"/>
      <c r="C679" s="2"/>
      <c r="D679" s="5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53"/>
      <c r="B680" s="2"/>
      <c r="C680" s="2"/>
      <c r="D680" s="5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53"/>
      <c r="B681" s="2"/>
      <c r="C681" s="2"/>
      <c r="D681" s="5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53"/>
      <c r="B682" s="2"/>
      <c r="C682" s="2"/>
      <c r="D682" s="5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53"/>
      <c r="B683" s="2"/>
      <c r="C683" s="2"/>
      <c r="D683" s="5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53"/>
      <c r="B684" s="2"/>
      <c r="C684" s="2"/>
      <c r="D684" s="5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53"/>
      <c r="B685" s="2"/>
      <c r="C685" s="2"/>
      <c r="D685" s="5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53"/>
      <c r="B686" s="2"/>
      <c r="C686" s="2"/>
      <c r="D686" s="5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53"/>
      <c r="B687" s="2"/>
      <c r="C687" s="2"/>
      <c r="D687" s="5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53"/>
      <c r="B688" s="2"/>
      <c r="C688" s="2"/>
      <c r="D688" s="5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53"/>
      <c r="B689" s="2"/>
      <c r="C689" s="2"/>
      <c r="D689" s="5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53"/>
      <c r="B690" s="2"/>
      <c r="C690" s="2"/>
      <c r="D690" s="5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53"/>
      <c r="B691" s="2"/>
      <c r="C691" s="2"/>
      <c r="D691" s="5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53"/>
      <c r="B692" s="2"/>
      <c r="C692" s="2"/>
      <c r="D692" s="5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53"/>
      <c r="B693" s="2"/>
      <c r="C693" s="2"/>
      <c r="D693" s="5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53"/>
      <c r="B694" s="2"/>
      <c r="C694" s="2"/>
      <c r="D694" s="5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53"/>
      <c r="B695" s="2"/>
      <c r="C695" s="2"/>
      <c r="D695" s="5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53"/>
      <c r="B696" s="2"/>
      <c r="C696" s="2"/>
      <c r="D696" s="5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53"/>
      <c r="B697" s="2"/>
      <c r="C697" s="2"/>
      <c r="D697" s="5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53"/>
      <c r="B698" s="2"/>
      <c r="C698" s="2"/>
      <c r="D698" s="5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53"/>
      <c r="B699" s="2"/>
      <c r="C699" s="2"/>
      <c r="D699" s="5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53"/>
      <c r="B700" s="2"/>
      <c r="C700" s="2"/>
      <c r="D700" s="5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53"/>
      <c r="B701" s="2"/>
      <c r="C701" s="2"/>
      <c r="D701" s="5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53"/>
      <c r="B702" s="2"/>
      <c r="C702" s="2"/>
      <c r="D702" s="5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53"/>
      <c r="B703" s="2"/>
      <c r="C703" s="2"/>
      <c r="D703" s="5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53"/>
      <c r="B704" s="2"/>
      <c r="C704" s="2"/>
      <c r="D704" s="5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53"/>
      <c r="B705" s="2"/>
      <c r="C705" s="2"/>
      <c r="D705" s="5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53"/>
      <c r="B706" s="2"/>
      <c r="C706" s="2"/>
      <c r="D706" s="5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53"/>
      <c r="B707" s="2"/>
      <c r="C707" s="2"/>
      <c r="D707" s="5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53"/>
      <c r="B708" s="2"/>
      <c r="C708" s="2"/>
      <c r="D708" s="5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53"/>
      <c r="B709" s="2"/>
      <c r="C709" s="2"/>
      <c r="D709" s="5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53"/>
      <c r="B710" s="2"/>
      <c r="C710" s="2"/>
      <c r="D710" s="5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53"/>
      <c r="B711" s="2"/>
      <c r="C711" s="2"/>
      <c r="D711" s="5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53"/>
      <c r="B712" s="2"/>
      <c r="C712" s="2"/>
      <c r="D712" s="5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53"/>
      <c r="B713" s="2"/>
      <c r="C713" s="2"/>
      <c r="D713" s="5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53"/>
      <c r="B714" s="2"/>
      <c r="C714" s="2"/>
      <c r="D714" s="5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53"/>
      <c r="B715" s="2"/>
      <c r="C715" s="2"/>
      <c r="D715" s="5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53"/>
      <c r="B716" s="2"/>
      <c r="C716" s="2"/>
      <c r="D716" s="5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53"/>
      <c r="B717" s="2"/>
      <c r="C717" s="2"/>
      <c r="D717" s="5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53"/>
      <c r="B718" s="2"/>
      <c r="C718" s="2"/>
      <c r="D718" s="5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53"/>
      <c r="B719" s="2"/>
      <c r="C719" s="2"/>
      <c r="D719" s="5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53"/>
      <c r="B720" s="2"/>
      <c r="C720" s="2"/>
      <c r="D720" s="5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53"/>
      <c r="B721" s="2"/>
      <c r="C721" s="2"/>
      <c r="D721" s="5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53"/>
      <c r="B722" s="2"/>
      <c r="C722" s="2"/>
      <c r="D722" s="5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53"/>
      <c r="B723" s="2"/>
      <c r="C723" s="2"/>
      <c r="D723" s="5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53"/>
      <c r="B724" s="2"/>
      <c r="C724" s="2"/>
      <c r="D724" s="5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53"/>
      <c r="B725" s="2"/>
      <c r="C725" s="2"/>
      <c r="D725" s="5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53"/>
      <c r="B726" s="2"/>
      <c r="C726" s="2"/>
      <c r="D726" s="5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53"/>
      <c r="B727" s="2"/>
      <c r="C727" s="2"/>
      <c r="D727" s="5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53"/>
      <c r="B728" s="2"/>
      <c r="C728" s="2"/>
      <c r="D728" s="5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53"/>
      <c r="B729" s="2"/>
      <c r="C729" s="2"/>
      <c r="D729" s="5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53"/>
      <c r="B730" s="2"/>
      <c r="C730" s="2"/>
      <c r="D730" s="5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53"/>
      <c r="B731" s="2"/>
      <c r="C731" s="2"/>
      <c r="D731" s="5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53"/>
      <c r="B732" s="2"/>
      <c r="C732" s="2"/>
      <c r="D732" s="5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53"/>
      <c r="B733" s="2"/>
      <c r="C733" s="2"/>
      <c r="D733" s="5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53"/>
      <c r="B734" s="2"/>
      <c r="C734" s="2"/>
      <c r="D734" s="5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53"/>
      <c r="B735" s="2"/>
      <c r="C735" s="2"/>
      <c r="D735" s="5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53"/>
      <c r="B736" s="2"/>
      <c r="C736" s="2"/>
      <c r="D736" s="5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53"/>
      <c r="B737" s="2"/>
      <c r="C737" s="2"/>
      <c r="D737" s="5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53"/>
      <c r="B738" s="2"/>
      <c r="C738" s="2"/>
      <c r="D738" s="5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53"/>
      <c r="B739" s="2"/>
      <c r="C739" s="2"/>
      <c r="D739" s="5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53"/>
      <c r="B740" s="2"/>
      <c r="C740" s="2"/>
      <c r="D740" s="5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53"/>
      <c r="B741" s="2"/>
      <c r="C741" s="2"/>
      <c r="D741" s="5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53"/>
      <c r="B742" s="2"/>
      <c r="C742" s="2"/>
      <c r="D742" s="5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53"/>
      <c r="B743" s="2"/>
      <c r="C743" s="2"/>
      <c r="D743" s="5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53"/>
      <c r="B744" s="2"/>
      <c r="C744" s="2"/>
      <c r="D744" s="5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53"/>
      <c r="B745" s="2"/>
      <c r="C745" s="2"/>
      <c r="D745" s="5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53"/>
      <c r="B746" s="2"/>
      <c r="C746" s="2"/>
      <c r="D746" s="5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53"/>
      <c r="B747" s="2"/>
      <c r="C747" s="2"/>
      <c r="D747" s="5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53"/>
      <c r="B748" s="2"/>
      <c r="C748" s="2"/>
      <c r="D748" s="5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53"/>
      <c r="B749" s="2"/>
      <c r="C749" s="2"/>
      <c r="D749" s="5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53"/>
      <c r="B750" s="2"/>
      <c r="C750" s="2"/>
      <c r="D750" s="5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53"/>
      <c r="B751" s="2"/>
      <c r="C751" s="2"/>
      <c r="D751" s="5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53"/>
      <c r="B752" s="2"/>
      <c r="C752" s="2"/>
      <c r="D752" s="5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53"/>
      <c r="B753" s="2"/>
      <c r="C753" s="2"/>
      <c r="D753" s="5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53"/>
      <c r="B754" s="2"/>
      <c r="C754" s="2"/>
      <c r="D754" s="5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53"/>
      <c r="B755" s="2"/>
      <c r="C755" s="2"/>
      <c r="D755" s="5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53"/>
      <c r="B756" s="2"/>
      <c r="C756" s="2"/>
      <c r="D756" s="5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53"/>
      <c r="B757" s="2"/>
      <c r="C757" s="2"/>
      <c r="D757" s="5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53"/>
      <c r="B758" s="2"/>
      <c r="C758" s="2"/>
      <c r="D758" s="5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53"/>
      <c r="B759" s="2"/>
      <c r="C759" s="2"/>
      <c r="D759" s="5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53"/>
      <c r="B760" s="2"/>
      <c r="C760" s="2"/>
      <c r="D760" s="5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53"/>
      <c r="B761" s="2"/>
      <c r="C761" s="2"/>
      <c r="D761" s="5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53"/>
      <c r="B762" s="2"/>
      <c r="C762" s="2"/>
      <c r="D762" s="5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53"/>
      <c r="B763" s="2"/>
      <c r="C763" s="2"/>
      <c r="D763" s="5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53"/>
      <c r="B764" s="2"/>
      <c r="C764" s="2"/>
      <c r="D764" s="5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53"/>
      <c r="B765" s="2"/>
      <c r="C765" s="2"/>
      <c r="D765" s="5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53"/>
      <c r="B766" s="2"/>
      <c r="C766" s="2"/>
      <c r="D766" s="5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53"/>
      <c r="B767" s="2"/>
      <c r="C767" s="2"/>
      <c r="D767" s="5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53"/>
      <c r="B768" s="2"/>
      <c r="C768" s="2"/>
      <c r="D768" s="5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53"/>
      <c r="B769" s="2"/>
      <c r="C769" s="2"/>
      <c r="D769" s="5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53"/>
      <c r="B770" s="2"/>
      <c r="C770" s="2"/>
      <c r="D770" s="5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53"/>
      <c r="B771" s="2"/>
      <c r="C771" s="2"/>
      <c r="D771" s="5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53"/>
      <c r="B772" s="2"/>
      <c r="C772" s="2"/>
      <c r="D772" s="5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53"/>
      <c r="B773" s="2"/>
      <c r="C773" s="2"/>
      <c r="D773" s="5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53"/>
      <c r="B774" s="2"/>
      <c r="C774" s="2"/>
      <c r="D774" s="5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53"/>
      <c r="B775" s="2"/>
      <c r="C775" s="2"/>
      <c r="D775" s="5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53"/>
      <c r="B776" s="2"/>
      <c r="C776" s="2"/>
      <c r="D776" s="5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53"/>
      <c r="B777" s="2"/>
      <c r="C777" s="2"/>
      <c r="D777" s="5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53"/>
      <c r="B778" s="2"/>
      <c r="C778" s="2"/>
      <c r="D778" s="5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53"/>
      <c r="B779" s="2"/>
      <c r="C779" s="2"/>
      <c r="D779" s="5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53"/>
      <c r="B780" s="2"/>
      <c r="C780" s="2"/>
      <c r="D780" s="5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53"/>
      <c r="B781" s="2"/>
      <c r="C781" s="2"/>
      <c r="D781" s="5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53"/>
      <c r="B782" s="2"/>
      <c r="C782" s="2"/>
      <c r="D782" s="5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53"/>
      <c r="B783" s="2"/>
      <c r="C783" s="2"/>
      <c r="D783" s="5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53"/>
      <c r="B784" s="2"/>
      <c r="C784" s="2"/>
      <c r="D784" s="5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53"/>
      <c r="B785" s="2"/>
      <c r="C785" s="2"/>
      <c r="D785" s="5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53"/>
      <c r="B786" s="2"/>
      <c r="C786" s="2"/>
      <c r="D786" s="5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53"/>
      <c r="B787" s="2"/>
      <c r="C787" s="2"/>
      <c r="D787" s="5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53"/>
      <c r="B788" s="2"/>
      <c r="C788" s="2"/>
      <c r="D788" s="5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53"/>
      <c r="B789" s="2"/>
      <c r="C789" s="2"/>
      <c r="D789" s="5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53"/>
      <c r="B790" s="2"/>
      <c r="C790" s="2"/>
      <c r="D790" s="5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53"/>
      <c r="B791" s="2"/>
      <c r="C791" s="2"/>
      <c r="D791" s="5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53"/>
      <c r="B792" s="2"/>
      <c r="C792" s="2"/>
      <c r="D792" s="5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53"/>
      <c r="B793" s="2"/>
      <c r="C793" s="2"/>
      <c r="D793" s="5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53"/>
      <c r="B794" s="2"/>
      <c r="C794" s="2"/>
      <c r="D794" s="5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53"/>
      <c r="B795" s="2"/>
      <c r="C795" s="2"/>
      <c r="D795" s="5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53"/>
      <c r="B796" s="2"/>
      <c r="C796" s="2"/>
      <c r="D796" s="5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53"/>
      <c r="B797" s="2"/>
      <c r="C797" s="2"/>
      <c r="D797" s="5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53"/>
      <c r="B798" s="2"/>
      <c r="C798" s="2"/>
      <c r="D798" s="5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53"/>
      <c r="B799" s="2"/>
      <c r="C799" s="2"/>
      <c r="D799" s="5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53"/>
      <c r="B800" s="2"/>
      <c r="C800" s="2"/>
      <c r="D800" s="5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53"/>
      <c r="B801" s="2"/>
      <c r="C801" s="2"/>
      <c r="D801" s="5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53"/>
      <c r="B802" s="2"/>
      <c r="C802" s="2"/>
      <c r="D802" s="5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53"/>
      <c r="B803" s="2"/>
      <c r="C803" s="2"/>
      <c r="D803" s="5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53"/>
      <c r="B804" s="2"/>
      <c r="C804" s="2"/>
      <c r="D804" s="5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53"/>
      <c r="B805" s="2"/>
      <c r="C805" s="2"/>
      <c r="D805" s="5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53"/>
      <c r="B806" s="2"/>
      <c r="C806" s="2"/>
      <c r="D806" s="5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53"/>
      <c r="B807" s="2"/>
      <c r="C807" s="2"/>
      <c r="D807" s="5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53"/>
      <c r="B808" s="2"/>
      <c r="C808" s="2"/>
      <c r="D808" s="5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53"/>
      <c r="B809" s="2"/>
      <c r="C809" s="2"/>
      <c r="D809" s="5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53"/>
      <c r="B810" s="2"/>
      <c r="C810" s="2"/>
      <c r="D810" s="5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53"/>
      <c r="B811" s="2"/>
      <c r="C811" s="2"/>
      <c r="D811" s="5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53"/>
      <c r="B812" s="2"/>
      <c r="C812" s="2"/>
      <c r="D812" s="5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53"/>
      <c r="B813" s="2"/>
      <c r="C813" s="2"/>
      <c r="D813" s="5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53"/>
      <c r="B814" s="2"/>
      <c r="C814" s="2"/>
      <c r="D814" s="5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53"/>
      <c r="B815" s="2"/>
      <c r="C815" s="2"/>
      <c r="D815" s="5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53"/>
      <c r="B816" s="2"/>
      <c r="C816" s="2"/>
      <c r="D816" s="5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53"/>
      <c r="B817" s="2"/>
      <c r="C817" s="2"/>
      <c r="D817" s="5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53"/>
      <c r="B818" s="2"/>
      <c r="C818" s="2"/>
      <c r="D818" s="5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53"/>
      <c r="B819" s="2"/>
      <c r="C819" s="2"/>
      <c r="D819" s="5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53"/>
      <c r="B820" s="2"/>
      <c r="C820" s="2"/>
      <c r="D820" s="5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53"/>
      <c r="B821" s="2"/>
      <c r="C821" s="2"/>
      <c r="D821" s="5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53"/>
      <c r="B822" s="2"/>
      <c r="C822" s="2"/>
      <c r="D822" s="5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53"/>
      <c r="B823" s="2"/>
      <c r="C823" s="2"/>
      <c r="D823" s="5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53"/>
      <c r="B824" s="2"/>
      <c r="C824" s="2"/>
      <c r="D824" s="5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53"/>
      <c r="B825" s="2"/>
      <c r="C825" s="2"/>
      <c r="D825" s="5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53"/>
      <c r="B826" s="2"/>
      <c r="C826" s="2"/>
      <c r="D826" s="5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53"/>
      <c r="B827" s="2"/>
      <c r="C827" s="2"/>
      <c r="D827" s="5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53"/>
      <c r="B828" s="2"/>
      <c r="C828" s="2"/>
      <c r="D828" s="5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53"/>
      <c r="B829" s="2"/>
      <c r="C829" s="2"/>
      <c r="D829" s="5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53"/>
      <c r="B830" s="2"/>
      <c r="C830" s="2"/>
      <c r="D830" s="5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53"/>
      <c r="B831" s="2"/>
      <c r="C831" s="2"/>
      <c r="D831" s="5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53"/>
      <c r="B832" s="2"/>
      <c r="C832" s="2"/>
      <c r="D832" s="5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53"/>
      <c r="B833" s="2"/>
      <c r="C833" s="2"/>
      <c r="D833" s="5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53"/>
      <c r="B834" s="2"/>
      <c r="C834" s="2"/>
      <c r="D834" s="5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53"/>
      <c r="B835" s="2"/>
      <c r="C835" s="2"/>
      <c r="D835" s="5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53"/>
      <c r="B836" s="2"/>
      <c r="C836" s="2"/>
      <c r="D836" s="5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53"/>
      <c r="B837" s="2"/>
      <c r="C837" s="2"/>
      <c r="D837" s="5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53"/>
      <c r="B838" s="2"/>
      <c r="C838" s="2"/>
      <c r="D838" s="5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53"/>
      <c r="B839" s="2"/>
      <c r="C839" s="2"/>
      <c r="D839" s="5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53"/>
      <c r="B840" s="2"/>
      <c r="C840" s="2"/>
      <c r="D840" s="5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53"/>
      <c r="B841" s="2"/>
      <c r="C841" s="2"/>
      <c r="D841" s="5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53"/>
      <c r="B842" s="2"/>
      <c r="C842" s="2"/>
      <c r="D842" s="5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53"/>
      <c r="B843" s="2"/>
      <c r="C843" s="2"/>
      <c r="D843" s="5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53"/>
      <c r="B844" s="2"/>
      <c r="C844" s="2"/>
      <c r="D844" s="5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53"/>
      <c r="B845" s="2"/>
      <c r="C845" s="2"/>
      <c r="D845" s="5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53"/>
      <c r="B846" s="2"/>
      <c r="C846" s="2"/>
      <c r="D846" s="5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53"/>
      <c r="B847" s="2"/>
      <c r="C847" s="2"/>
      <c r="D847" s="5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53"/>
      <c r="B848" s="2"/>
      <c r="C848" s="2"/>
      <c r="D848" s="5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53"/>
      <c r="B849" s="2"/>
      <c r="C849" s="2"/>
      <c r="D849" s="5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53"/>
      <c r="B850" s="2"/>
      <c r="C850" s="2"/>
      <c r="D850" s="5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53"/>
      <c r="B851" s="2"/>
      <c r="C851" s="2"/>
      <c r="D851" s="5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53"/>
      <c r="B852" s="2"/>
      <c r="C852" s="2"/>
      <c r="D852" s="5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53"/>
      <c r="B853" s="2"/>
      <c r="C853" s="2"/>
      <c r="D853" s="5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53"/>
      <c r="B854" s="2"/>
      <c r="C854" s="2"/>
      <c r="D854" s="5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53"/>
      <c r="B855" s="2"/>
      <c r="C855" s="2"/>
      <c r="D855" s="5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53"/>
      <c r="B856" s="2"/>
      <c r="C856" s="2"/>
      <c r="D856" s="5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53"/>
      <c r="B857" s="2"/>
      <c r="C857" s="2"/>
      <c r="D857" s="5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53"/>
      <c r="B858" s="2"/>
      <c r="C858" s="2"/>
      <c r="D858" s="5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53"/>
      <c r="B859" s="2"/>
      <c r="C859" s="2"/>
      <c r="D859" s="5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53"/>
      <c r="B860" s="2"/>
      <c r="C860" s="2"/>
      <c r="D860" s="5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53"/>
      <c r="B861" s="2"/>
      <c r="C861" s="2"/>
      <c r="D861" s="5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53"/>
      <c r="B862" s="2"/>
      <c r="C862" s="2"/>
      <c r="D862" s="5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53"/>
      <c r="B863" s="2"/>
      <c r="C863" s="2"/>
      <c r="D863" s="5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53"/>
      <c r="B864" s="2"/>
      <c r="C864" s="2"/>
      <c r="D864" s="5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53"/>
      <c r="B865" s="2"/>
      <c r="C865" s="2"/>
      <c r="D865" s="5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53"/>
      <c r="B866" s="2"/>
      <c r="C866" s="2"/>
      <c r="D866" s="5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53"/>
      <c r="B867" s="2"/>
      <c r="C867" s="2"/>
      <c r="D867" s="5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53"/>
      <c r="B868" s="2"/>
      <c r="C868" s="2"/>
      <c r="D868" s="5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53"/>
      <c r="B869" s="2"/>
      <c r="C869" s="2"/>
      <c r="D869" s="5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53"/>
      <c r="B870" s="2"/>
      <c r="C870" s="2"/>
      <c r="D870" s="5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53"/>
      <c r="B871" s="2"/>
      <c r="C871" s="2"/>
      <c r="D871" s="5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53"/>
      <c r="B872" s="2"/>
      <c r="C872" s="2"/>
      <c r="D872" s="5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53"/>
      <c r="B873" s="2"/>
      <c r="C873" s="2"/>
      <c r="D873" s="5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53"/>
      <c r="B874" s="2"/>
      <c r="C874" s="2"/>
      <c r="D874" s="5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53"/>
      <c r="B875" s="2"/>
      <c r="C875" s="2"/>
      <c r="D875" s="5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53"/>
      <c r="B876" s="2"/>
      <c r="C876" s="2"/>
      <c r="D876" s="5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53"/>
      <c r="B877" s="2"/>
      <c r="C877" s="2"/>
      <c r="D877" s="5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53"/>
      <c r="B878" s="2"/>
      <c r="C878" s="2"/>
      <c r="D878" s="5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53"/>
      <c r="B879" s="2"/>
      <c r="C879" s="2"/>
      <c r="D879" s="5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53"/>
      <c r="B880" s="2"/>
      <c r="C880" s="2"/>
      <c r="D880" s="5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53"/>
      <c r="B881" s="2"/>
      <c r="C881" s="2"/>
      <c r="D881" s="5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53"/>
      <c r="B882" s="2"/>
      <c r="C882" s="2"/>
      <c r="D882" s="5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53"/>
      <c r="B883" s="2"/>
      <c r="C883" s="2"/>
      <c r="D883" s="5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53"/>
      <c r="B884" s="2"/>
      <c r="C884" s="2"/>
      <c r="D884" s="5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53"/>
      <c r="B885" s="2"/>
      <c r="C885" s="2"/>
      <c r="D885" s="5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53"/>
      <c r="B886" s="2"/>
      <c r="C886" s="2"/>
      <c r="D886" s="5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53"/>
      <c r="B887" s="2"/>
      <c r="C887" s="2"/>
      <c r="D887" s="5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53"/>
      <c r="B888" s="2"/>
      <c r="C888" s="2"/>
      <c r="D888" s="5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53"/>
      <c r="B889" s="2"/>
      <c r="C889" s="2"/>
      <c r="D889" s="5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53"/>
      <c r="B890" s="2"/>
      <c r="C890" s="2"/>
      <c r="D890" s="5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53"/>
      <c r="B891" s="2"/>
      <c r="C891" s="2"/>
      <c r="D891" s="5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53"/>
      <c r="B892" s="2"/>
      <c r="C892" s="2"/>
      <c r="D892" s="5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53"/>
      <c r="B893" s="2"/>
      <c r="C893" s="2"/>
      <c r="D893" s="5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53"/>
      <c r="B894" s="2"/>
      <c r="C894" s="2"/>
      <c r="D894" s="5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53"/>
      <c r="B895" s="2"/>
      <c r="C895" s="2"/>
      <c r="D895" s="5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53"/>
      <c r="B896" s="2"/>
      <c r="C896" s="2"/>
      <c r="D896" s="5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53"/>
      <c r="B897" s="2"/>
      <c r="C897" s="2"/>
      <c r="D897" s="5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53"/>
      <c r="B898" s="2"/>
      <c r="C898" s="2"/>
      <c r="D898" s="5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53"/>
      <c r="B899" s="2"/>
      <c r="C899" s="2"/>
      <c r="D899" s="5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53"/>
      <c r="B900" s="2"/>
      <c r="C900" s="2"/>
      <c r="D900" s="5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53"/>
      <c r="B901" s="2"/>
      <c r="C901" s="2"/>
      <c r="D901" s="5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53"/>
      <c r="B902" s="2"/>
      <c r="C902" s="2"/>
      <c r="D902" s="5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53"/>
      <c r="B903" s="2"/>
      <c r="C903" s="2"/>
      <c r="D903" s="5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53"/>
      <c r="B904" s="2"/>
      <c r="C904" s="2"/>
      <c r="D904" s="5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53"/>
      <c r="B905" s="2"/>
      <c r="C905" s="2"/>
      <c r="D905" s="5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53"/>
      <c r="B906" s="2"/>
      <c r="C906" s="2"/>
      <c r="D906" s="5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53"/>
      <c r="B907" s="2"/>
      <c r="C907" s="2"/>
      <c r="D907" s="5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53"/>
      <c r="B908" s="2"/>
      <c r="C908" s="2"/>
      <c r="D908" s="5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53"/>
      <c r="B909" s="2"/>
      <c r="C909" s="2"/>
      <c r="D909" s="5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53"/>
      <c r="B910" s="2"/>
      <c r="C910" s="2"/>
      <c r="D910" s="5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53"/>
      <c r="B911" s="2"/>
      <c r="C911" s="2"/>
      <c r="D911" s="5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53"/>
      <c r="B912" s="2"/>
      <c r="C912" s="2"/>
      <c r="D912" s="5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53"/>
      <c r="B913" s="2"/>
      <c r="C913" s="2"/>
      <c r="D913" s="5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53"/>
      <c r="B914" s="2"/>
      <c r="C914" s="2"/>
      <c r="D914" s="5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53"/>
      <c r="B915" s="2"/>
      <c r="C915" s="2"/>
      <c r="D915" s="5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53"/>
      <c r="B916" s="2"/>
      <c r="C916" s="2"/>
      <c r="D916" s="5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53"/>
      <c r="B917" s="2"/>
      <c r="C917" s="2"/>
      <c r="D917" s="5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53"/>
      <c r="B918" s="2"/>
      <c r="C918" s="2"/>
      <c r="D918" s="5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53"/>
      <c r="B919" s="2"/>
      <c r="C919" s="2"/>
      <c r="D919" s="5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53"/>
      <c r="B920" s="2"/>
      <c r="C920" s="2"/>
      <c r="D920" s="5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53"/>
      <c r="B921" s="2"/>
      <c r="C921" s="2"/>
      <c r="D921" s="5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53"/>
      <c r="B922" s="2"/>
      <c r="C922" s="2"/>
      <c r="D922" s="5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53"/>
      <c r="B923" s="2"/>
      <c r="C923" s="2"/>
      <c r="D923" s="5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53"/>
      <c r="B924" s="2"/>
      <c r="C924" s="2"/>
      <c r="D924" s="5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53"/>
      <c r="B925" s="2"/>
      <c r="C925" s="2"/>
      <c r="D925" s="5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53"/>
      <c r="B926" s="2"/>
      <c r="C926" s="2"/>
      <c r="D926" s="5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53"/>
      <c r="B927" s="2"/>
      <c r="C927" s="2"/>
      <c r="D927" s="5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53"/>
      <c r="B928" s="2"/>
      <c r="C928" s="2"/>
      <c r="D928" s="5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53"/>
      <c r="B929" s="2"/>
      <c r="C929" s="2"/>
      <c r="D929" s="5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53"/>
      <c r="B930" s="2"/>
      <c r="C930" s="2"/>
      <c r="D930" s="5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53"/>
      <c r="B931" s="2"/>
      <c r="C931" s="2"/>
      <c r="D931" s="5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53"/>
      <c r="B932" s="2"/>
      <c r="C932" s="2"/>
      <c r="D932" s="5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53"/>
      <c r="B933" s="2"/>
      <c r="C933" s="2"/>
      <c r="D933" s="5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53"/>
      <c r="B934" s="2"/>
      <c r="C934" s="2"/>
      <c r="D934" s="5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53"/>
      <c r="B935" s="2"/>
      <c r="C935" s="2"/>
      <c r="D935" s="5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53"/>
      <c r="B936" s="2"/>
      <c r="C936" s="2"/>
      <c r="D936" s="5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53"/>
      <c r="B937" s="2"/>
      <c r="C937" s="2"/>
      <c r="D937" s="5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53"/>
      <c r="B938" s="2"/>
      <c r="C938" s="2"/>
      <c r="D938" s="5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53"/>
      <c r="B939" s="2"/>
      <c r="C939" s="2"/>
      <c r="D939" s="5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53"/>
      <c r="B940" s="2"/>
      <c r="C940" s="2"/>
      <c r="D940" s="5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53"/>
      <c r="B941" s="2"/>
      <c r="C941" s="2"/>
      <c r="D941" s="5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53"/>
      <c r="B942" s="2"/>
      <c r="C942" s="2"/>
      <c r="D942" s="5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53"/>
      <c r="B943" s="2"/>
      <c r="C943" s="2"/>
      <c r="D943" s="5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53"/>
      <c r="B944" s="2"/>
      <c r="C944" s="2"/>
      <c r="D944" s="5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53"/>
      <c r="B945" s="2"/>
      <c r="C945" s="2"/>
      <c r="D945" s="5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53"/>
      <c r="B946" s="2"/>
      <c r="C946" s="2"/>
      <c r="D946" s="5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53"/>
      <c r="B947" s="2"/>
      <c r="C947" s="2"/>
      <c r="D947" s="5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53"/>
      <c r="B948" s="2"/>
      <c r="C948" s="2"/>
      <c r="D948" s="5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53"/>
      <c r="B949" s="2"/>
      <c r="C949" s="2"/>
      <c r="D949" s="5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53"/>
      <c r="B950" s="2"/>
      <c r="C950" s="2"/>
      <c r="D950" s="5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53"/>
      <c r="B951" s="2"/>
      <c r="C951" s="2"/>
      <c r="D951" s="5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53"/>
      <c r="B952" s="2"/>
      <c r="C952" s="2"/>
      <c r="D952" s="5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53"/>
      <c r="B953" s="2"/>
      <c r="C953" s="2"/>
      <c r="D953" s="5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53"/>
      <c r="B954" s="2"/>
      <c r="C954" s="2"/>
      <c r="D954" s="5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53"/>
      <c r="B955" s="2"/>
      <c r="C955" s="2"/>
      <c r="D955" s="5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53"/>
      <c r="B956" s="2"/>
      <c r="C956" s="2"/>
      <c r="D956" s="5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53"/>
      <c r="B957" s="2"/>
      <c r="C957" s="2"/>
      <c r="D957" s="5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53"/>
      <c r="B958" s="2"/>
      <c r="C958" s="2"/>
      <c r="D958" s="5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53"/>
      <c r="B959" s="2"/>
      <c r="C959" s="2"/>
      <c r="D959" s="5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53"/>
      <c r="B960" s="2"/>
      <c r="C960" s="2"/>
      <c r="D960" s="5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53"/>
      <c r="B961" s="2"/>
      <c r="C961" s="2"/>
      <c r="D961" s="5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53"/>
      <c r="B962" s="2"/>
      <c r="C962" s="2"/>
      <c r="D962" s="5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53"/>
      <c r="B963" s="2"/>
      <c r="C963" s="2"/>
      <c r="D963" s="5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53"/>
      <c r="B964" s="2"/>
      <c r="C964" s="2"/>
      <c r="D964" s="5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53"/>
      <c r="B965" s="2"/>
      <c r="C965" s="2"/>
      <c r="D965" s="5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53"/>
      <c r="B966" s="2"/>
      <c r="C966" s="2"/>
      <c r="D966" s="5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53"/>
      <c r="B967" s="2"/>
      <c r="C967" s="2"/>
      <c r="D967" s="5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53"/>
      <c r="B968" s="2"/>
      <c r="C968" s="2"/>
      <c r="D968" s="5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53"/>
      <c r="B969" s="2"/>
      <c r="C969" s="2"/>
      <c r="D969" s="5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53"/>
      <c r="B970" s="2"/>
      <c r="C970" s="2"/>
      <c r="D970" s="5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53"/>
      <c r="B971" s="2"/>
      <c r="C971" s="2"/>
      <c r="D971" s="5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53"/>
      <c r="B972" s="2"/>
      <c r="C972" s="2"/>
      <c r="D972" s="5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53"/>
      <c r="B973" s="2"/>
      <c r="C973" s="2"/>
      <c r="D973" s="5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53"/>
      <c r="B974" s="2"/>
      <c r="C974" s="2"/>
      <c r="D974" s="5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53"/>
      <c r="B975" s="2"/>
      <c r="C975" s="2"/>
      <c r="D975" s="5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53"/>
      <c r="B976" s="2"/>
      <c r="C976" s="2"/>
      <c r="D976" s="5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53"/>
      <c r="B977" s="2"/>
      <c r="C977" s="2"/>
      <c r="D977" s="5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53"/>
      <c r="B978" s="2"/>
      <c r="C978" s="2"/>
      <c r="D978" s="5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53"/>
      <c r="B979" s="2"/>
      <c r="C979" s="2"/>
      <c r="D979" s="5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53"/>
      <c r="B980" s="2"/>
      <c r="C980" s="2"/>
      <c r="D980" s="5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53"/>
      <c r="B981" s="2"/>
      <c r="C981" s="2"/>
      <c r="D981" s="5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53"/>
      <c r="B982" s="2"/>
      <c r="C982" s="2"/>
      <c r="D982" s="5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53"/>
      <c r="B983" s="2"/>
      <c r="C983" s="2"/>
      <c r="D983" s="5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53"/>
      <c r="B984" s="2"/>
      <c r="C984" s="2"/>
      <c r="D984" s="5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53"/>
      <c r="B985" s="2"/>
      <c r="C985" s="2"/>
      <c r="D985" s="5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53"/>
      <c r="B986" s="2"/>
      <c r="C986" s="2"/>
      <c r="D986" s="5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53"/>
      <c r="B987" s="2"/>
      <c r="C987" s="2"/>
      <c r="D987" s="5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53"/>
      <c r="B988" s="2"/>
      <c r="C988" s="2"/>
      <c r="D988" s="5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53"/>
      <c r="B989" s="2"/>
      <c r="C989" s="2"/>
      <c r="D989" s="5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53"/>
      <c r="B990" s="2"/>
      <c r="C990" s="2"/>
      <c r="D990" s="5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53"/>
      <c r="B991" s="2"/>
      <c r="C991" s="2"/>
      <c r="D991" s="5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53"/>
      <c r="B992" s="2"/>
      <c r="C992" s="2"/>
      <c r="D992" s="5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53"/>
      <c r="B993" s="2"/>
      <c r="C993" s="2"/>
      <c r="D993" s="5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53"/>
      <c r="B994" s="2"/>
      <c r="C994" s="2"/>
      <c r="D994" s="5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53"/>
      <c r="B995" s="2"/>
      <c r="C995" s="2"/>
      <c r="D995" s="5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53"/>
      <c r="B996" s="2"/>
      <c r="C996" s="2"/>
      <c r="D996" s="5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53"/>
      <c r="B997" s="2"/>
      <c r="C997" s="2"/>
      <c r="D997" s="5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53"/>
      <c r="B998" s="2"/>
      <c r="C998" s="2"/>
      <c r="D998" s="5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53"/>
      <c r="B999" s="2"/>
      <c r="C999" s="2"/>
      <c r="D999" s="5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53"/>
      <c r="B1000" s="2"/>
      <c r="C1000" s="2"/>
      <c r="D1000" s="5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53"/>
      <c r="B1001" s="2"/>
      <c r="C1001" s="2"/>
      <c r="D1001" s="54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53"/>
      <c r="B1002" s="2"/>
      <c r="C1002" s="2"/>
      <c r="D1002" s="54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53"/>
      <c r="B1003" s="2"/>
      <c r="C1003" s="2"/>
      <c r="D1003" s="54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53"/>
      <c r="B1004" s="2"/>
      <c r="C1004" s="2"/>
      <c r="D1004" s="54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53"/>
      <c r="B1005" s="2"/>
      <c r="C1005" s="2"/>
      <c r="D1005" s="54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53"/>
      <c r="B1006" s="2"/>
      <c r="C1006" s="2"/>
      <c r="D1006" s="54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53"/>
      <c r="B1007" s="2"/>
      <c r="C1007" s="2"/>
      <c r="D1007" s="54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53"/>
      <c r="B1008" s="2"/>
      <c r="C1008" s="2"/>
      <c r="D1008" s="54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53"/>
      <c r="B1009" s="2"/>
      <c r="C1009" s="2"/>
      <c r="D1009" s="54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53"/>
      <c r="B1010" s="2"/>
      <c r="C1010" s="2"/>
      <c r="D1010" s="54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>
      <c r="A1011" s="53"/>
      <c r="B1011" s="2"/>
      <c r="C1011" s="2"/>
      <c r="D1011" s="54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>
      <c r="A1012" s="53"/>
      <c r="B1012" s="2"/>
      <c r="C1012" s="2"/>
      <c r="D1012" s="54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>
      <c r="A1013" s="53"/>
      <c r="B1013" s="2"/>
      <c r="C1013" s="2"/>
      <c r="D1013" s="54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>
      <c r="A1014" s="53"/>
      <c r="B1014" s="2"/>
      <c r="C1014" s="2"/>
      <c r="D1014" s="54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>
      <c r="A1015" s="53"/>
      <c r="B1015" s="2"/>
      <c r="C1015" s="2"/>
      <c r="D1015" s="54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>
      <c r="A1016" s="53"/>
      <c r="B1016" s="2"/>
      <c r="C1016" s="2"/>
      <c r="D1016" s="54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>
      <c r="A1017" s="53"/>
      <c r="B1017" s="2"/>
      <c r="C1017" s="2"/>
      <c r="D1017" s="54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>
      <c r="A1018" s="53"/>
      <c r="B1018" s="2"/>
      <c r="C1018" s="2"/>
      <c r="D1018" s="54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>
      <c r="A1019" s="53"/>
      <c r="B1019" s="2"/>
      <c r="C1019" s="2"/>
      <c r="D1019" s="54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>
      <c r="A1020" s="53"/>
      <c r="B1020" s="2"/>
      <c r="C1020" s="2"/>
      <c r="D1020" s="54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>
      <c r="A1021" s="53"/>
      <c r="B1021" s="2"/>
      <c r="C1021" s="2"/>
      <c r="D1021" s="54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>
      <c r="A1022" s="53"/>
      <c r="B1022" s="2"/>
      <c r="C1022" s="2"/>
      <c r="D1022" s="54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>
      <c r="A1023" s="53"/>
      <c r="B1023" s="2"/>
      <c r="C1023" s="2"/>
      <c r="D1023" s="54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>
      <c r="A1024" s="53"/>
      <c r="B1024" s="2"/>
      <c r="C1024" s="2"/>
      <c r="D1024" s="54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>
      <c r="A1025" s="53"/>
      <c r="B1025" s="2"/>
      <c r="C1025" s="2"/>
      <c r="D1025" s="54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>
      <c r="A1026" s="53"/>
      <c r="B1026" s="2"/>
      <c r="C1026" s="2"/>
      <c r="D1026" s="54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>
      <c r="A1027" s="53"/>
      <c r="B1027" s="2"/>
      <c r="C1027" s="2"/>
      <c r="D1027" s="54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>
      <c r="A1028" s="53"/>
      <c r="B1028" s="2"/>
      <c r="C1028" s="2"/>
      <c r="D1028" s="54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>
      <c r="A1029" s="53"/>
      <c r="B1029" s="2"/>
      <c r="C1029" s="2"/>
      <c r="D1029" s="54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>
      <c r="A1030" s="53"/>
      <c r="B1030" s="2"/>
      <c r="C1030" s="2"/>
      <c r="D1030" s="54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>
      <c r="A1031" s="53"/>
      <c r="B1031" s="2"/>
      <c r="C1031" s="2"/>
      <c r="D1031" s="54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>
      <c r="A1032" s="53"/>
      <c r="B1032" s="2"/>
      <c r="C1032" s="2"/>
      <c r="D1032" s="54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>
      <c r="A1033" s="53"/>
      <c r="B1033" s="2"/>
      <c r="C1033" s="2"/>
      <c r="D1033" s="54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>
      <c r="A1034" s="53"/>
      <c r="B1034" s="2"/>
      <c r="C1034" s="2"/>
      <c r="D1034" s="54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>
      <c r="A1035" s="53"/>
      <c r="B1035" s="2"/>
      <c r="C1035" s="2"/>
      <c r="D1035" s="54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>
      <c r="A1036" s="53"/>
      <c r="B1036" s="2"/>
      <c r="C1036" s="2"/>
      <c r="D1036" s="54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>
      <c r="A1037" s="53"/>
      <c r="B1037" s="2"/>
      <c r="C1037" s="2"/>
      <c r="D1037" s="54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>
      <c r="A1038" s="53"/>
      <c r="B1038" s="2"/>
      <c r="C1038" s="2"/>
      <c r="D1038" s="54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>
      <c r="A1039" s="53"/>
      <c r="B1039" s="2"/>
      <c r="C1039" s="2"/>
      <c r="D1039" s="54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>
      <c r="A1040" s="53"/>
      <c r="B1040" s="2"/>
      <c r="C1040" s="2"/>
      <c r="D1040" s="54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>
      <c r="A1041" s="53"/>
      <c r="B1041" s="2"/>
      <c r="C1041" s="2"/>
      <c r="D1041" s="54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  <row r="1042">
      <c r="A1042" s="53"/>
      <c r="B1042" s="2"/>
      <c r="C1042" s="2"/>
      <c r="D1042" s="54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</row>
    <row r="1043">
      <c r="A1043" s="53"/>
      <c r="B1043" s="2"/>
      <c r="C1043" s="2"/>
      <c r="D1043" s="54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</row>
    <row r="1044">
      <c r="A1044" s="53"/>
      <c r="B1044" s="2"/>
      <c r="C1044" s="2"/>
      <c r="D1044" s="54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</row>
    <row r="1045">
      <c r="A1045" s="53"/>
      <c r="B1045" s="2"/>
      <c r="C1045" s="2"/>
      <c r="D1045" s="54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</row>
    <row r="1046">
      <c r="A1046" s="53"/>
      <c r="B1046" s="2"/>
      <c r="C1046" s="2"/>
      <c r="D1046" s="54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</row>
    <row r="1047">
      <c r="A1047" s="53"/>
      <c r="B1047" s="2"/>
      <c r="C1047" s="2"/>
      <c r="D1047" s="54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</row>
    <row r="1048">
      <c r="A1048" s="53"/>
      <c r="B1048" s="2"/>
      <c r="C1048" s="2"/>
      <c r="D1048" s="54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</row>
    <row r="1049">
      <c r="A1049" s="53"/>
      <c r="B1049" s="2"/>
      <c r="C1049" s="2"/>
      <c r="D1049" s="54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</row>
    <row r="1050">
      <c r="A1050" s="53"/>
      <c r="B1050" s="2"/>
      <c r="C1050" s="2"/>
      <c r="D1050" s="54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</row>
    <row r="1051">
      <c r="A1051" s="53"/>
      <c r="B1051" s="2"/>
      <c r="C1051" s="2"/>
      <c r="D1051" s="54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</row>
    <row r="1052">
      <c r="A1052" s="53"/>
      <c r="B1052" s="2"/>
      <c r="C1052" s="2"/>
      <c r="D1052" s="54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</row>
    <row r="1053">
      <c r="A1053" s="53"/>
      <c r="B1053" s="2"/>
      <c r="C1053" s="2"/>
      <c r="D1053" s="54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</row>
    <row r="1054">
      <c r="A1054" s="53"/>
      <c r="B1054" s="2"/>
      <c r="C1054" s="2"/>
      <c r="D1054" s="54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</row>
    <row r="1055">
      <c r="A1055" s="53"/>
      <c r="B1055" s="2"/>
      <c r="C1055" s="2"/>
      <c r="D1055" s="54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</row>
    <row r="1056">
      <c r="A1056" s="53"/>
      <c r="B1056" s="2"/>
      <c r="C1056" s="2"/>
      <c r="D1056" s="54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</row>
    <row r="1057">
      <c r="A1057" s="53"/>
      <c r="B1057" s="2"/>
      <c r="C1057" s="2"/>
      <c r="D1057" s="54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</row>
    <row r="1058">
      <c r="A1058" s="53"/>
      <c r="B1058" s="2"/>
      <c r="C1058" s="2"/>
      <c r="D1058" s="54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</row>
    <row r="1059">
      <c r="A1059" s="53"/>
      <c r="B1059" s="2"/>
      <c r="C1059" s="2"/>
      <c r="D1059" s="54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</row>
    <row r="1060">
      <c r="A1060" s="53"/>
      <c r="B1060" s="2"/>
      <c r="C1060" s="2"/>
      <c r="D1060" s="54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</row>
    <row r="1061">
      <c r="A1061" s="53"/>
      <c r="B1061" s="2"/>
      <c r="C1061" s="2"/>
      <c r="D1061" s="54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</row>
    <row r="1062">
      <c r="A1062" s="53"/>
      <c r="B1062" s="2"/>
      <c r="C1062" s="2"/>
      <c r="D1062" s="54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</row>
    <row r="1063">
      <c r="A1063" s="53"/>
      <c r="B1063" s="2"/>
      <c r="C1063" s="2"/>
      <c r="D1063" s="54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</row>
    <row r="1064">
      <c r="A1064" s="53"/>
      <c r="B1064" s="2"/>
      <c r="C1064" s="2"/>
      <c r="D1064" s="54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</row>
    <row r="1065">
      <c r="A1065" s="53"/>
      <c r="B1065" s="2"/>
      <c r="C1065" s="2"/>
      <c r="D1065" s="54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</row>
    <row r="1066">
      <c r="A1066" s="53"/>
      <c r="B1066" s="2"/>
      <c r="C1066" s="2"/>
      <c r="D1066" s="54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</row>
    <row r="1067">
      <c r="A1067" s="53"/>
      <c r="B1067" s="2"/>
      <c r="C1067" s="2"/>
      <c r="D1067" s="54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</row>
    <row r="1068">
      <c r="A1068" s="53"/>
      <c r="B1068" s="2"/>
      <c r="C1068" s="2"/>
      <c r="D1068" s="54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</row>
    <row r="1069">
      <c r="A1069" s="53"/>
      <c r="B1069" s="2"/>
      <c r="C1069" s="2"/>
      <c r="D1069" s="54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</row>
    <row r="1070">
      <c r="A1070" s="53"/>
      <c r="B1070" s="2"/>
      <c r="C1070" s="2"/>
      <c r="D1070" s="54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</row>
    <row r="1071">
      <c r="A1071" s="53"/>
      <c r="B1071" s="2"/>
      <c r="C1071" s="2"/>
      <c r="D1071" s="54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</row>
    <row r="1072">
      <c r="A1072" s="53"/>
      <c r="B1072" s="2"/>
      <c r="C1072" s="2"/>
      <c r="D1072" s="54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</row>
    <row r="1073">
      <c r="A1073" s="53"/>
      <c r="B1073" s="2"/>
      <c r="C1073" s="2"/>
      <c r="D1073" s="54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</row>
    <row r="1074">
      <c r="A1074" s="53"/>
      <c r="B1074" s="2"/>
      <c r="C1074" s="2"/>
      <c r="D1074" s="54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</row>
    <row r="1075">
      <c r="A1075" s="53"/>
      <c r="B1075" s="2"/>
      <c r="C1075" s="2"/>
      <c r="D1075" s="54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</row>
    <row r="1076">
      <c r="A1076" s="53"/>
      <c r="B1076" s="2"/>
      <c r="C1076" s="2"/>
      <c r="D1076" s="54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</row>
    <row r="1077">
      <c r="A1077" s="53"/>
      <c r="B1077" s="2"/>
      <c r="C1077" s="2"/>
      <c r="D1077" s="54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</row>
    <row r="1078">
      <c r="A1078" s="53"/>
      <c r="B1078" s="2"/>
      <c r="C1078" s="2"/>
      <c r="D1078" s="54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</row>
    <row r="1079">
      <c r="A1079" s="53"/>
      <c r="B1079" s="2"/>
      <c r="C1079" s="2"/>
      <c r="D1079" s="54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</row>
    <row r="1080">
      <c r="A1080" s="53"/>
      <c r="B1080" s="2"/>
      <c r="C1080" s="2"/>
      <c r="D1080" s="54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</row>
    <row r="1081">
      <c r="A1081" s="53"/>
      <c r="B1081" s="2"/>
      <c r="C1081" s="2"/>
      <c r="D1081" s="54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</row>
    <row r="1082">
      <c r="A1082" s="53"/>
      <c r="B1082" s="2"/>
      <c r="C1082" s="2"/>
      <c r="D1082" s="54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</row>
    <row r="1083">
      <c r="A1083" s="53"/>
      <c r="B1083" s="2"/>
      <c r="C1083" s="2"/>
      <c r="D1083" s="54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</row>
    <row r="1084">
      <c r="A1084" s="53"/>
      <c r="B1084" s="2"/>
      <c r="C1084" s="2"/>
      <c r="D1084" s="54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</row>
    <row r="1085">
      <c r="A1085" s="53"/>
      <c r="B1085" s="2"/>
      <c r="C1085" s="2"/>
      <c r="D1085" s="54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</row>
    <row r="1086">
      <c r="A1086" s="53"/>
      <c r="B1086" s="2"/>
      <c r="C1086" s="2"/>
      <c r="D1086" s="54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</row>
    <row r="1087">
      <c r="A1087" s="53"/>
      <c r="B1087" s="2"/>
      <c r="C1087" s="2"/>
      <c r="D1087" s="54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</row>
    <row r="1088">
      <c r="A1088" s="53"/>
      <c r="B1088" s="2"/>
      <c r="C1088" s="2"/>
      <c r="D1088" s="54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</row>
    <row r="1089">
      <c r="A1089" s="53"/>
      <c r="B1089" s="2"/>
      <c r="C1089" s="2"/>
      <c r="D1089" s="54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</row>
    <row r="1090">
      <c r="A1090" s="53"/>
      <c r="B1090" s="2"/>
      <c r="C1090" s="2"/>
      <c r="D1090" s="54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</row>
    <row r="1091">
      <c r="A1091" s="53"/>
      <c r="B1091" s="2"/>
      <c r="C1091" s="2"/>
      <c r="D1091" s="54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</row>
    <row r="1092">
      <c r="A1092" s="53"/>
      <c r="B1092" s="2"/>
      <c r="C1092" s="2"/>
      <c r="D1092" s="54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</row>
    <row r="1093">
      <c r="A1093" s="53"/>
      <c r="B1093" s="2"/>
      <c r="C1093" s="2"/>
      <c r="D1093" s="54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</row>
    <row r="1094">
      <c r="A1094" s="53"/>
      <c r="B1094" s="2"/>
      <c r="C1094" s="2"/>
      <c r="D1094" s="54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</row>
    <row r="1095">
      <c r="A1095" s="53"/>
      <c r="B1095" s="2"/>
      <c r="C1095" s="2"/>
      <c r="D1095" s="54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</row>
    <row r="1096">
      <c r="A1096" s="53"/>
      <c r="B1096" s="2"/>
      <c r="C1096" s="2"/>
      <c r="D1096" s="54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</row>
    <row r="1097">
      <c r="A1097" s="53"/>
      <c r="B1097" s="2"/>
      <c r="C1097" s="2"/>
      <c r="D1097" s="54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</row>
    <row r="1098">
      <c r="A1098" s="53"/>
      <c r="B1098" s="2"/>
      <c r="C1098" s="2"/>
      <c r="D1098" s="54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</row>
    <row r="1099">
      <c r="A1099" s="53"/>
      <c r="B1099" s="2"/>
      <c r="C1099" s="2"/>
      <c r="D1099" s="54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</row>
    <row r="1100">
      <c r="A1100" s="53"/>
      <c r="B1100" s="2"/>
      <c r="C1100" s="2"/>
      <c r="D1100" s="54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</row>
    <row r="1101">
      <c r="A1101" s="53"/>
      <c r="B1101" s="2"/>
      <c r="C1101" s="2"/>
      <c r="D1101" s="54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</row>
    <row r="1102">
      <c r="A1102" s="53"/>
      <c r="B1102" s="2"/>
      <c r="C1102" s="2"/>
      <c r="D1102" s="54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</row>
    <row r="1103">
      <c r="A1103" s="53"/>
      <c r="B1103" s="2"/>
      <c r="C1103" s="2"/>
      <c r="D1103" s="54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</row>
    <row r="1104">
      <c r="A1104" s="53"/>
      <c r="B1104" s="2"/>
      <c r="C1104" s="2"/>
      <c r="D1104" s="54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</row>
    <row r="1105">
      <c r="A1105" s="53"/>
      <c r="B1105" s="2"/>
      <c r="C1105" s="2"/>
      <c r="D1105" s="54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</row>
    <row r="1106">
      <c r="A1106" s="53"/>
      <c r="B1106" s="2"/>
      <c r="C1106" s="2"/>
      <c r="D1106" s="54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</row>
    <row r="1107">
      <c r="A1107" s="53"/>
      <c r="B1107" s="2"/>
      <c r="C1107" s="2"/>
      <c r="D1107" s="54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</row>
    <row r="1108">
      <c r="A1108" s="53"/>
      <c r="B1108" s="2"/>
      <c r="C1108" s="2"/>
      <c r="D1108" s="54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</row>
    <row r="1109">
      <c r="A1109" s="53"/>
      <c r="B1109" s="2"/>
      <c r="C1109" s="2"/>
      <c r="D1109" s="54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</row>
    <row r="1110">
      <c r="A1110" s="53"/>
      <c r="B1110" s="2"/>
      <c r="C1110" s="2"/>
      <c r="D1110" s="54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</row>
    <row r="1111">
      <c r="A1111" s="53"/>
      <c r="B1111" s="2"/>
      <c r="C1111" s="2"/>
      <c r="D1111" s="54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</row>
    <row r="1112">
      <c r="A1112" s="53"/>
      <c r="B1112" s="2"/>
      <c r="C1112" s="2"/>
      <c r="D1112" s="54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</row>
    <row r="1113">
      <c r="A1113" s="53"/>
      <c r="B1113" s="2"/>
      <c r="C1113" s="2"/>
      <c r="D1113" s="54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</row>
    <row r="1114">
      <c r="A1114" s="53"/>
      <c r="B1114" s="2"/>
      <c r="C1114" s="2"/>
      <c r="D1114" s="54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</row>
    <row r="1115">
      <c r="A1115" s="53"/>
      <c r="B1115" s="2"/>
      <c r="C1115" s="2"/>
      <c r="D1115" s="54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</row>
    <row r="1116">
      <c r="A1116" s="53"/>
      <c r="B1116" s="2"/>
      <c r="C1116" s="2"/>
      <c r="D1116" s="54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</row>
    <row r="1117">
      <c r="A1117" s="53"/>
      <c r="B1117" s="2"/>
      <c r="C1117" s="2"/>
      <c r="D1117" s="54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</row>
    <row r="1118">
      <c r="A1118" s="53"/>
      <c r="B1118" s="2"/>
      <c r="C1118" s="2"/>
      <c r="D1118" s="54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</row>
    <row r="1119">
      <c r="A1119" s="53"/>
      <c r="B1119" s="2"/>
      <c r="C1119" s="2"/>
      <c r="D1119" s="54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</row>
    <row r="1120">
      <c r="A1120" s="53"/>
      <c r="B1120" s="2"/>
      <c r="C1120" s="2"/>
      <c r="D1120" s="54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</row>
    <row r="1121">
      <c r="A1121" s="53"/>
      <c r="B1121" s="2"/>
      <c r="C1121" s="2"/>
      <c r="D1121" s="54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</row>
    <row r="1122">
      <c r="A1122" s="53"/>
      <c r="B1122" s="2"/>
      <c r="C1122" s="2"/>
      <c r="D1122" s="54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</row>
    <row r="1123">
      <c r="A1123" s="53"/>
      <c r="B1123" s="2"/>
      <c r="C1123" s="2"/>
      <c r="D1123" s="54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</row>
    <row r="1124">
      <c r="A1124" s="53"/>
      <c r="B1124" s="2"/>
      <c r="C1124" s="2"/>
      <c r="D1124" s="54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</row>
    <row r="1125">
      <c r="A1125" s="53"/>
      <c r="B1125" s="2"/>
      <c r="C1125" s="2"/>
      <c r="D1125" s="54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</row>
    <row r="1126">
      <c r="A1126" s="53"/>
      <c r="B1126" s="2"/>
      <c r="C1126" s="2"/>
      <c r="D1126" s="54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</row>
    <row r="1127">
      <c r="A1127" s="53"/>
      <c r="B1127" s="2"/>
      <c r="C1127" s="2"/>
      <c r="D1127" s="54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</row>
    <row r="1128">
      <c r="A1128" s="53"/>
      <c r="B1128" s="2"/>
      <c r="C1128" s="2"/>
      <c r="D1128" s="54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</row>
    <row r="1129">
      <c r="A1129" s="53"/>
      <c r="B1129" s="2"/>
      <c r="C1129" s="2"/>
      <c r="D1129" s="54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</row>
    <row r="1130">
      <c r="A1130" s="53"/>
      <c r="B1130" s="2"/>
      <c r="C1130" s="2"/>
      <c r="D1130" s="54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</row>
    <row r="1131">
      <c r="A1131" s="53"/>
      <c r="B1131" s="2"/>
      <c r="C1131" s="2"/>
      <c r="D1131" s="54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</row>
    <row r="1132">
      <c r="A1132" s="53"/>
      <c r="B1132" s="2"/>
      <c r="C1132" s="2"/>
      <c r="D1132" s="54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</row>
    <row r="1133">
      <c r="A1133" s="53"/>
      <c r="B1133" s="2"/>
      <c r="C1133" s="2"/>
      <c r="D1133" s="54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</row>
    <row r="1134">
      <c r="A1134" s="53"/>
      <c r="B1134" s="2"/>
      <c r="C1134" s="2"/>
      <c r="D1134" s="54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</row>
    <row r="1135">
      <c r="A1135" s="53"/>
      <c r="B1135" s="2"/>
      <c r="C1135" s="2"/>
      <c r="D1135" s="54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</row>
    <row r="1136">
      <c r="A1136" s="53"/>
      <c r="B1136" s="2"/>
      <c r="C1136" s="2"/>
      <c r="D1136" s="54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</row>
    <row r="1137">
      <c r="A1137" s="53"/>
      <c r="B1137" s="2"/>
      <c r="C1137" s="2"/>
      <c r="D1137" s="54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</row>
    <row r="1138">
      <c r="A1138" s="53"/>
      <c r="B1138" s="2"/>
      <c r="C1138" s="2"/>
      <c r="D1138" s="54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</row>
    <row r="1139">
      <c r="A1139" s="53"/>
      <c r="B1139" s="2"/>
      <c r="C1139" s="2"/>
      <c r="D1139" s="54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</row>
    <row r="1140">
      <c r="A1140" s="53"/>
      <c r="B1140" s="2"/>
      <c r="C1140" s="2"/>
      <c r="D1140" s="54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</row>
    <row r="1141">
      <c r="A1141" s="53"/>
      <c r="B1141" s="2"/>
      <c r="C1141" s="2"/>
      <c r="D1141" s="54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</row>
    <row r="1142">
      <c r="A1142" s="53"/>
      <c r="B1142" s="2"/>
      <c r="C1142" s="2"/>
      <c r="D1142" s="54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</row>
    <row r="1143">
      <c r="A1143" s="53"/>
      <c r="B1143" s="2"/>
      <c r="C1143" s="2"/>
      <c r="D1143" s="54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</row>
    <row r="1144">
      <c r="A1144" s="53"/>
      <c r="B1144" s="2"/>
      <c r="C1144" s="2"/>
      <c r="D1144" s="54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</row>
    <row r="1145">
      <c r="A1145" s="53"/>
      <c r="B1145" s="2"/>
      <c r="C1145" s="2"/>
      <c r="D1145" s="54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</row>
    <row r="1146">
      <c r="A1146" s="53"/>
      <c r="B1146" s="2"/>
      <c r="C1146" s="2"/>
      <c r="D1146" s="54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</row>
    <row r="1147">
      <c r="A1147" s="53"/>
      <c r="B1147" s="2"/>
      <c r="C1147" s="2"/>
      <c r="D1147" s="54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</row>
    <row r="1148">
      <c r="A1148" s="53"/>
      <c r="B1148" s="2"/>
      <c r="C1148" s="2"/>
      <c r="D1148" s="54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</row>
    <row r="1149">
      <c r="A1149" s="53"/>
      <c r="B1149" s="2"/>
      <c r="C1149" s="2"/>
      <c r="D1149" s="54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</row>
    <row r="1150">
      <c r="A1150" s="53"/>
      <c r="B1150" s="2"/>
      <c r="C1150" s="2"/>
      <c r="D1150" s="54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</row>
    <row r="1151">
      <c r="A1151" s="53"/>
      <c r="B1151" s="2"/>
      <c r="C1151" s="2"/>
      <c r="D1151" s="54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</row>
    <row r="1152">
      <c r="A1152" s="53"/>
      <c r="B1152" s="2"/>
      <c r="C1152" s="2"/>
      <c r="D1152" s="54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</row>
    <row r="1153">
      <c r="A1153" s="53"/>
      <c r="B1153" s="2"/>
      <c r="C1153" s="2"/>
      <c r="D1153" s="54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</row>
    <row r="1154">
      <c r="A1154" s="53"/>
      <c r="B1154" s="2"/>
      <c r="C1154" s="2"/>
      <c r="D1154" s="54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</row>
    <row r="1155">
      <c r="A1155" s="53"/>
      <c r="B1155" s="2"/>
      <c r="C1155" s="2"/>
      <c r="D1155" s="54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</row>
    <row r="1156">
      <c r="A1156" s="53"/>
      <c r="B1156" s="2"/>
      <c r="C1156" s="2"/>
      <c r="D1156" s="54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</row>
    <row r="1157">
      <c r="A1157" s="53"/>
      <c r="B1157" s="2"/>
      <c r="C1157" s="2"/>
      <c r="D1157" s="54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</row>
    <row r="1158">
      <c r="A1158" s="53"/>
      <c r="B1158" s="2"/>
      <c r="C1158" s="2"/>
      <c r="D1158" s="54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</row>
    <row r="1159">
      <c r="A1159" s="53"/>
      <c r="B1159" s="2"/>
      <c r="C1159" s="2"/>
      <c r="D1159" s="54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</row>
    <row r="1160">
      <c r="A1160" s="53"/>
      <c r="B1160" s="2"/>
      <c r="C1160" s="2"/>
      <c r="D1160" s="54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</row>
    <row r="1161">
      <c r="A1161" s="53"/>
      <c r="B1161" s="2"/>
      <c r="C1161" s="2"/>
      <c r="D1161" s="54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</row>
    <row r="1162">
      <c r="A1162" s="53"/>
      <c r="B1162" s="2"/>
      <c r="C1162" s="2"/>
      <c r="D1162" s="54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</row>
    <row r="1163">
      <c r="A1163" s="53"/>
      <c r="B1163" s="2"/>
      <c r="C1163" s="2"/>
      <c r="D1163" s="54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</row>
    <row r="1164">
      <c r="A1164" s="53"/>
      <c r="B1164" s="2"/>
      <c r="C1164" s="2"/>
      <c r="D1164" s="54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</row>
    <row r="1165">
      <c r="A1165" s="53"/>
      <c r="B1165" s="2"/>
      <c r="C1165" s="2"/>
      <c r="D1165" s="54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</row>
    <row r="1166">
      <c r="A1166" s="53"/>
      <c r="B1166" s="2"/>
      <c r="C1166" s="2"/>
      <c r="D1166" s="54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</row>
    <row r="1167">
      <c r="A1167" s="53"/>
      <c r="B1167" s="2"/>
      <c r="C1167" s="2"/>
      <c r="D1167" s="54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</row>
    <row r="1168">
      <c r="A1168" s="53"/>
      <c r="B1168" s="2"/>
      <c r="C1168" s="2"/>
      <c r="D1168" s="54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</row>
    <row r="1169">
      <c r="A1169" s="53"/>
      <c r="B1169" s="2"/>
      <c r="C1169" s="2"/>
      <c r="D1169" s="54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</row>
    <row r="1170">
      <c r="A1170" s="53"/>
      <c r="B1170" s="2"/>
      <c r="C1170" s="2"/>
      <c r="D1170" s="54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</row>
    <row r="1171">
      <c r="A1171" s="53"/>
      <c r="B1171" s="2"/>
      <c r="C1171" s="2"/>
      <c r="D1171" s="54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</row>
    <row r="1172">
      <c r="A1172" s="53"/>
      <c r="B1172" s="2"/>
      <c r="C1172" s="2"/>
      <c r="D1172" s="54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</row>
    <row r="1173">
      <c r="A1173" s="53"/>
      <c r="B1173" s="2"/>
      <c r="C1173" s="2"/>
      <c r="D1173" s="54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</row>
    <row r="1174">
      <c r="A1174" s="53"/>
      <c r="B1174" s="2"/>
      <c r="C1174" s="2"/>
      <c r="D1174" s="54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</row>
    <row r="1175">
      <c r="A1175" s="53"/>
      <c r="B1175" s="2"/>
      <c r="C1175" s="2"/>
      <c r="D1175" s="54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</row>
    <row r="1176">
      <c r="A1176" s="53"/>
      <c r="B1176" s="2"/>
      <c r="C1176" s="2"/>
      <c r="D1176" s="54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</row>
    <row r="1177">
      <c r="A1177" s="53"/>
      <c r="B1177" s="2"/>
      <c r="C1177" s="2"/>
      <c r="D1177" s="54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</row>
    <row r="1178">
      <c r="A1178" s="53"/>
      <c r="B1178" s="2"/>
      <c r="C1178" s="2"/>
      <c r="D1178" s="54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</row>
    <row r="1179">
      <c r="A1179" s="53"/>
      <c r="B1179" s="2"/>
      <c r="C1179" s="2"/>
      <c r="D1179" s="54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</row>
    <row r="1180">
      <c r="A1180" s="53"/>
      <c r="B1180" s="2"/>
      <c r="C1180" s="2"/>
      <c r="D1180" s="54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</row>
    <row r="1181">
      <c r="A1181" s="53"/>
      <c r="B1181" s="2"/>
      <c r="C1181" s="2"/>
      <c r="D1181" s="54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</row>
    <row r="1182">
      <c r="A1182" s="53"/>
      <c r="B1182" s="2"/>
      <c r="C1182" s="2"/>
      <c r="D1182" s="54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</row>
    <row r="1183">
      <c r="A1183" s="53"/>
      <c r="B1183" s="2"/>
      <c r="C1183" s="2"/>
      <c r="D1183" s="54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</row>
    <row r="1184">
      <c r="A1184" s="53"/>
      <c r="B1184" s="2"/>
      <c r="C1184" s="2"/>
      <c r="D1184" s="54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</row>
    <row r="1185">
      <c r="A1185" s="53"/>
      <c r="B1185" s="2"/>
      <c r="C1185" s="2"/>
      <c r="D1185" s="54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</row>
    <row r="1186">
      <c r="A1186" s="53"/>
      <c r="B1186" s="2"/>
      <c r="C1186" s="2"/>
      <c r="D1186" s="54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</row>
    <row r="1187">
      <c r="A1187" s="53"/>
      <c r="B1187" s="2"/>
      <c r="C1187" s="2"/>
      <c r="D1187" s="54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</row>
    <row r="1188">
      <c r="A1188" s="53"/>
      <c r="B1188" s="2"/>
      <c r="C1188" s="2"/>
      <c r="D1188" s="54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</row>
    <row r="1189">
      <c r="A1189" s="53"/>
      <c r="B1189" s="2"/>
      <c r="C1189" s="2"/>
      <c r="D1189" s="54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</row>
    <row r="1190">
      <c r="A1190" s="53"/>
      <c r="B1190" s="2"/>
      <c r="C1190" s="2"/>
      <c r="D1190" s="54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</row>
    <row r="1191">
      <c r="A1191" s="53"/>
      <c r="B1191" s="2"/>
      <c r="C1191" s="2"/>
      <c r="D1191" s="54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</row>
    <row r="1192">
      <c r="A1192" s="53"/>
      <c r="B1192" s="2"/>
      <c r="C1192" s="2"/>
      <c r="D1192" s="54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</row>
    <row r="1193">
      <c r="A1193" s="53"/>
      <c r="B1193" s="2"/>
      <c r="C1193" s="2"/>
      <c r="D1193" s="54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</row>
    <row r="1194">
      <c r="A1194" s="53"/>
      <c r="B1194" s="2"/>
      <c r="C1194" s="2"/>
      <c r="D1194" s="54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</row>
    <row r="1195">
      <c r="A1195" s="53"/>
      <c r="B1195" s="2"/>
      <c r="C1195" s="2"/>
      <c r="D1195" s="54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</row>
    <row r="1196">
      <c r="A1196" s="53"/>
      <c r="B1196" s="2"/>
      <c r="C1196" s="2"/>
      <c r="D1196" s="54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</row>
    <row r="1197">
      <c r="A1197" s="53"/>
      <c r="B1197" s="2"/>
      <c r="C1197" s="2"/>
      <c r="D1197" s="54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</row>
    <row r="1198">
      <c r="A1198" s="53"/>
      <c r="B1198" s="2"/>
      <c r="C1198" s="2"/>
      <c r="D1198" s="54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</row>
    <row r="1199">
      <c r="A1199" s="53"/>
      <c r="B1199" s="2"/>
      <c r="C1199" s="2"/>
      <c r="D1199" s="54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</row>
    <row r="1200">
      <c r="A1200" s="53"/>
      <c r="B1200" s="2"/>
      <c r="C1200" s="2"/>
      <c r="D1200" s="54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</row>
    <row r="1201">
      <c r="A1201" s="53"/>
      <c r="B1201" s="2"/>
      <c r="C1201" s="2"/>
      <c r="D1201" s="54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</row>
    <row r="1202">
      <c r="A1202" s="53"/>
      <c r="B1202" s="2"/>
      <c r="C1202" s="2"/>
      <c r="D1202" s="54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</row>
    <row r="1203">
      <c r="A1203" s="53"/>
      <c r="B1203" s="2"/>
      <c r="C1203" s="2"/>
      <c r="D1203" s="54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</row>
    <row r="1204">
      <c r="A1204" s="53"/>
      <c r="B1204" s="2"/>
      <c r="C1204" s="2"/>
      <c r="D1204" s="54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</row>
    <row r="1205">
      <c r="A1205" s="53"/>
      <c r="B1205" s="2"/>
      <c r="C1205" s="2"/>
      <c r="D1205" s="54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</row>
    <row r="1206">
      <c r="A1206" s="53"/>
      <c r="B1206" s="2"/>
      <c r="C1206" s="2"/>
      <c r="D1206" s="54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</row>
    <row r="1207">
      <c r="A1207" s="53"/>
      <c r="B1207" s="2"/>
      <c r="C1207" s="2"/>
      <c r="D1207" s="54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</row>
    <row r="1208">
      <c r="A1208" s="53"/>
      <c r="B1208" s="2"/>
      <c r="C1208" s="2"/>
      <c r="D1208" s="54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</row>
    <row r="1209">
      <c r="A1209" s="53"/>
      <c r="B1209" s="2"/>
      <c r="C1209" s="2"/>
      <c r="D1209" s="54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</row>
    <row r="1210">
      <c r="A1210" s="53"/>
      <c r="B1210" s="2"/>
      <c r="C1210" s="2"/>
      <c r="D1210" s="54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</row>
    <row r="1211">
      <c r="A1211" s="53"/>
      <c r="B1211" s="2"/>
      <c r="C1211" s="2"/>
      <c r="D1211" s="54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</row>
    <row r="1212">
      <c r="A1212" s="53"/>
      <c r="B1212" s="2"/>
      <c r="C1212" s="2"/>
      <c r="D1212" s="54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</row>
    <row r="1213">
      <c r="A1213" s="53"/>
      <c r="B1213" s="2"/>
      <c r="C1213" s="2"/>
      <c r="D1213" s="54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</row>
    <row r="1214">
      <c r="A1214" s="53"/>
      <c r="B1214" s="2"/>
      <c r="C1214" s="2"/>
      <c r="D1214" s="54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</row>
    <row r="1215">
      <c r="A1215" s="53"/>
      <c r="B1215" s="2"/>
      <c r="C1215" s="2"/>
      <c r="D1215" s="54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</row>
    <row r="1216">
      <c r="A1216" s="53"/>
      <c r="B1216" s="2"/>
      <c r="C1216" s="2"/>
      <c r="D1216" s="54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</row>
    <row r="1217">
      <c r="A1217" s="53"/>
      <c r="B1217" s="2"/>
      <c r="C1217" s="2"/>
      <c r="D1217" s="54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</row>
    <row r="1218">
      <c r="A1218" s="53"/>
      <c r="B1218" s="2"/>
      <c r="C1218" s="2"/>
      <c r="D1218" s="54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</row>
    <row r="1219">
      <c r="A1219" s="53"/>
      <c r="B1219" s="2"/>
      <c r="C1219" s="2"/>
      <c r="D1219" s="54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</row>
    <row r="1220">
      <c r="A1220" s="53"/>
      <c r="B1220" s="2"/>
      <c r="C1220" s="2"/>
      <c r="D1220" s="54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</row>
    <row r="1221">
      <c r="A1221" s="53"/>
      <c r="B1221" s="2"/>
      <c r="C1221" s="2"/>
      <c r="D1221" s="54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</row>
    <row r="1222">
      <c r="A1222" s="53"/>
      <c r="B1222" s="2"/>
      <c r="C1222" s="2"/>
      <c r="D1222" s="54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</row>
    <row r="1223">
      <c r="A1223" s="53"/>
      <c r="B1223" s="2"/>
      <c r="C1223" s="2"/>
      <c r="D1223" s="54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</row>
    <row r="1224">
      <c r="A1224" s="53"/>
      <c r="B1224" s="2"/>
      <c r="C1224" s="2"/>
      <c r="D1224" s="54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</row>
    <row r="1225">
      <c r="A1225" s="53"/>
      <c r="B1225" s="2"/>
      <c r="C1225" s="2"/>
      <c r="D1225" s="54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</row>
    <row r="1226">
      <c r="A1226" s="53"/>
      <c r="B1226" s="2"/>
      <c r="C1226" s="2"/>
      <c r="D1226" s="54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</row>
    <row r="1227">
      <c r="A1227" s="53"/>
      <c r="B1227" s="2"/>
      <c r="C1227" s="2"/>
      <c r="D1227" s="54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</row>
    <row r="1228">
      <c r="A1228" s="53"/>
      <c r="B1228" s="2"/>
      <c r="C1228" s="2"/>
      <c r="D1228" s="54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</row>
    <row r="1229">
      <c r="A1229" s="53"/>
      <c r="B1229" s="2"/>
      <c r="C1229" s="2"/>
      <c r="D1229" s="54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</row>
    <row r="1230">
      <c r="A1230" s="53"/>
      <c r="B1230" s="2"/>
      <c r="C1230" s="2"/>
      <c r="D1230" s="54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</row>
    <row r="1231">
      <c r="A1231" s="53"/>
      <c r="B1231" s="2"/>
      <c r="C1231" s="2"/>
      <c r="D1231" s="54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</row>
    <row r="1232">
      <c r="A1232" s="53"/>
      <c r="B1232" s="2"/>
      <c r="C1232" s="2"/>
      <c r="D1232" s="54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</row>
    <row r="1233">
      <c r="A1233" s="53"/>
      <c r="B1233" s="2"/>
      <c r="C1233" s="2"/>
      <c r="D1233" s="54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</row>
    <row r="1234">
      <c r="A1234" s="53"/>
      <c r="B1234" s="2"/>
      <c r="C1234" s="2"/>
      <c r="D1234" s="54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</row>
    <row r="1235">
      <c r="A1235" s="53"/>
      <c r="B1235" s="2"/>
      <c r="C1235" s="2"/>
      <c r="D1235" s="54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</row>
    <row r="1236">
      <c r="A1236" s="53"/>
      <c r="B1236" s="2"/>
      <c r="C1236" s="2"/>
      <c r="D1236" s="54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</row>
    <row r="1237">
      <c r="A1237" s="53"/>
      <c r="B1237" s="2"/>
      <c r="C1237" s="2"/>
      <c r="D1237" s="54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</row>
    <row r="1238">
      <c r="A1238" s="53"/>
      <c r="B1238" s="2"/>
      <c r="C1238" s="2"/>
      <c r="D1238" s="54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</row>
    <row r="1239">
      <c r="A1239" s="53"/>
      <c r="B1239" s="2"/>
      <c r="C1239" s="2"/>
      <c r="D1239" s="54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</row>
    <row r="1240">
      <c r="A1240" s="53"/>
      <c r="B1240" s="2"/>
      <c r="C1240" s="2"/>
      <c r="D1240" s="54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</row>
    <row r="1241">
      <c r="A1241" s="53"/>
      <c r="B1241" s="2"/>
      <c r="C1241" s="2"/>
      <c r="D1241" s="54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</row>
    <row r="1242">
      <c r="A1242" s="53"/>
      <c r="B1242" s="2"/>
      <c r="C1242" s="2"/>
      <c r="D1242" s="54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</row>
    <row r="1243">
      <c r="A1243" s="53"/>
      <c r="B1243" s="2"/>
      <c r="C1243" s="2"/>
      <c r="D1243" s="54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</row>
    <row r="1244">
      <c r="A1244" s="53"/>
      <c r="B1244" s="2"/>
      <c r="C1244" s="2"/>
      <c r="D1244" s="54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</row>
    <row r="1245">
      <c r="A1245" s="53"/>
      <c r="B1245" s="2"/>
      <c r="C1245" s="2"/>
      <c r="D1245" s="54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</row>
    <row r="1246">
      <c r="A1246" s="53"/>
      <c r="B1246" s="2"/>
      <c r="C1246" s="2"/>
      <c r="D1246" s="54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</row>
    <row r="1247">
      <c r="A1247" s="53"/>
      <c r="B1247" s="2"/>
      <c r="C1247" s="2"/>
      <c r="D1247" s="54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</row>
    <row r="1248">
      <c r="A1248" s="53"/>
      <c r="B1248" s="2"/>
      <c r="C1248" s="2"/>
      <c r="D1248" s="54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</row>
    <row r="1249">
      <c r="A1249" s="53"/>
      <c r="B1249" s="2"/>
      <c r="C1249" s="2"/>
      <c r="D1249" s="54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</row>
    <row r="1250">
      <c r="A1250" s="53"/>
      <c r="B1250" s="2"/>
      <c r="C1250" s="2"/>
      <c r="D1250" s="54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</row>
    <row r="1251">
      <c r="A1251" s="53"/>
      <c r="B1251" s="2"/>
      <c r="C1251" s="2"/>
      <c r="D1251" s="54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</row>
    <row r="1252">
      <c r="A1252" s="53"/>
      <c r="B1252" s="2"/>
      <c r="C1252" s="2"/>
      <c r="D1252" s="54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</row>
    <row r="1253">
      <c r="A1253" s="53"/>
      <c r="B1253" s="2"/>
      <c r="C1253" s="2"/>
      <c r="D1253" s="54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</row>
    <row r="1254">
      <c r="A1254" s="53"/>
      <c r="B1254" s="2"/>
      <c r="C1254" s="2"/>
      <c r="D1254" s="54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</row>
    <row r="1255">
      <c r="A1255" s="53"/>
      <c r="B1255" s="2"/>
      <c r="C1255" s="2"/>
      <c r="D1255" s="54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</row>
    <row r="1256">
      <c r="A1256" s="53"/>
      <c r="B1256" s="2"/>
      <c r="C1256" s="2"/>
      <c r="D1256" s="54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</row>
    <row r="1257">
      <c r="A1257" s="53"/>
      <c r="B1257" s="2"/>
      <c r="C1257" s="2"/>
      <c r="D1257" s="54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</row>
    <row r="1258">
      <c r="A1258" s="53"/>
      <c r="B1258" s="2"/>
      <c r="C1258" s="2"/>
      <c r="D1258" s="54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</row>
    <row r="1259">
      <c r="A1259" s="53"/>
      <c r="B1259" s="2"/>
      <c r="C1259" s="2"/>
      <c r="D1259" s="54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</row>
    <row r="1260">
      <c r="A1260" s="53"/>
      <c r="B1260" s="2"/>
      <c r="C1260" s="2"/>
      <c r="D1260" s="54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</row>
    <row r="1261">
      <c r="A1261" s="53"/>
      <c r="B1261" s="2"/>
      <c r="C1261" s="2"/>
      <c r="D1261" s="54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</row>
    <row r="1262">
      <c r="A1262" s="53"/>
      <c r="B1262" s="2"/>
      <c r="C1262" s="2"/>
      <c r="D1262" s="54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</row>
    <row r="1263">
      <c r="A1263" s="53"/>
      <c r="B1263" s="2"/>
      <c r="C1263" s="2"/>
      <c r="D1263" s="54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</row>
    <row r="1264">
      <c r="A1264" s="53"/>
      <c r="B1264" s="2"/>
      <c r="C1264" s="2"/>
      <c r="D1264" s="54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</row>
    <row r="1265">
      <c r="A1265" s="53"/>
      <c r="B1265" s="2"/>
      <c r="C1265" s="2"/>
      <c r="D1265" s="54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</row>
    <row r="1266">
      <c r="A1266" s="53"/>
      <c r="B1266" s="2"/>
      <c r="C1266" s="2"/>
      <c r="D1266" s="54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</row>
    <row r="1267">
      <c r="A1267" s="53"/>
      <c r="B1267" s="2"/>
      <c r="C1267" s="2"/>
      <c r="D1267" s="54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</row>
    <row r="1268">
      <c r="A1268" s="53"/>
      <c r="B1268" s="2"/>
      <c r="C1268" s="2"/>
      <c r="D1268" s="54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</row>
    <row r="1269">
      <c r="A1269" s="53"/>
      <c r="B1269" s="2"/>
      <c r="C1269" s="2"/>
      <c r="D1269" s="54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</row>
    <row r="1270">
      <c r="A1270" s="53"/>
      <c r="B1270" s="2"/>
      <c r="C1270" s="2"/>
      <c r="D1270" s="54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</row>
    <row r="1271">
      <c r="A1271" s="53"/>
      <c r="B1271" s="2"/>
      <c r="C1271" s="2"/>
      <c r="D1271" s="54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</row>
    <row r="1272">
      <c r="A1272" s="53"/>
      <c r="B1272" s="2"/>
      <c r="C1272" s="2"/>
      <c r="D1272" s="54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</row>
    <row r="1273">
      <c r="A1273" s="53"/>
      <c r="B1273" s="2"/>
      <c r="C1273" s="2"/>
      <c r="D1273" s="54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</row>
    <row r="1274">
      <c r="A1274" s="53"/>
      <c r="B1274" s="2"/>
      <c r="C1274" s="2"/>
      <c r="D1274" s="54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</row>
    <row r="1275">
      <c r="A1275" s="53"/>
      <c r="B1275" s="2"/>
      <c r="C1275" s="2"/>
      <c r="D1275" s="54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</row>
    <row r="1276">
      <c r="A1276" s="53"/>
      <c r="B1276" s="2"/>
      <c r="C1276" s="2"/>
      <c r="D1276" s="54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</row>
    <row r="1277">
      <c r="A1277" s="53"/>
      <c r="B1277" s="2"/>
      <c r="C1277" s="2"/>
      <c r="D1277" s="54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</row>
    <row r="1278">
      <c r="A1278" s="53"/>
      <c r="B1278" s="2"/>
      <c r="C1278" s="2"/>
      <c r="D1278" s="54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</row>
    <row r="1279">
      <c r="A1279" s="53"/>
      <c r="B1279" s="2"/>
      <c r="C1279" s="2"/>
      <c r="D1279" s="54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</row>
    <row r="1280">
      <c r="A1280" s="53"/>
      <c r="B1280" s="2"/>
      <c r="C1280" s="2"/>
      <c r="D1280" s="54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</row>
    <row r="1281">
      <c r="A1281" s="53"/>
      <c r="B1281" s="2"/>
      <c r="C1281" s="2"/>
      <c r="D1281" s="54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</row>
    <row r="1282">
      <c r="A1282" s="53"/>
      <c r="B1282" s="2"/>
      <c r="C1282" s="2"/>
      <c r="D1282" s="54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</row>
    <row r="1283">
      <c r="A1283" s="53"/>
      <c r="B1283" s="2"/>
      <c r="C1283" s="2"/>
      <c r="D1283" s="54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</row>
    <row r="1284">
      <c r="A1284" s="53"/>
      <c r="B1284" s="2"/>
      <c r="C1284" s="2"/>
      <c r="D1284" s="54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</row>
    <row r="1285">
      <c r="A1285" s="53"/>
      <c r="B1285" s="2"/>
      <c r="C1285" s="2"/>
      <c r="D1285" s="54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</row>
    <row r="1286">
      <c r="A1286" s="53"/>
      <c r="B1286" s="2"/>
      <c r="C1286" s="2"/>
      <c r="D1286" s="54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</row>
    <row r="1287">
      <c r="A1287" s="53"/>
      <c r="B1287" s="2"/>
      <c r="C1287" s="2"/>
      <c r="D1287" s="54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</row>
    <row r="1288">
      <c r="A1288" s="53"/>
      <c r="B1288" s="2"/>
      <c r="C1288" s="2"/>
      <c r="D1288" s="54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</row>
    <row r="1289">
      <c r="A1289" s="53"/>
      <c r="B1289" s="2"/>
      <c r="C1289" s="2"/>
      <c r="D1289" s="54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</row>
    <row r="1290">
      <c r="A1290" s="53"/>
      <c r="B1290" s="2"/>
      <c r="C1290" s="2"/>
      <c r="D1290" s="54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</row>
    <row r="1291">
      <c r="A1291" s="53"/>
      <c r="B1291" s="2"/>
      <c r="C1291" s="2"/>
      <c r="D1291" s="54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</row>
    <row r="1292">
      <c r="A1292" s="53"/>
      <c r="B1292" s="2"/>
      <c r="C1292" s="2"/>
      <c r="D1292" s="54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</row>
    <row r="1293">
      <c r="A1293" s="53"/>
      <c r="B1293" s="2"/>
      <c r="C1293" s="2"/>
      <c r="D1293" s="54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</row>
    <row r="1294">
      <c r="A1294" s="53"/>
      <c r="B1294" s="2"/>
      <c r="C1294" s="2"/>
      <c r="D1294" s="54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</row>
    <row r="1295">
      <c r="A1295" s="53"/>
      <c r="B1295" s="2"/>
      <c r="C1295" s="2"/>
      <c r="D1295" s="54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</row>
    <row r="1296">
      <c r="A1296" s="53"/>
      <c r="B1296" s="2"/>
      <c r="C1296" s="2"/>
      <c r="D1296" s="54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</row>
    <row r="1297">
      <c r="A1297" s="53"/>
      <c r="B1297" s="2"/>
      <c r="C1297" s="2"/>
      <c r="D1297" s="54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</row>
    <row r="1298">
      <c r="A1298" s="53"/>
      <c r="B1298" s="2"/>
      <c r="C1298" s="2"/>
      <c r="D1298" s="54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</row>
    <row r="1299">
      <c r="A1299" s="53"/>
      <c r="B1299" s="2"/>
      <c r="C1299" s="2"/>
      <c r="D1299" s="54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</row>
    <row r="1300">
      <c r="A1300" s="53"/>
      <c r="B1300" s="2"/>
      <c r="C1300" s="2"/>
      <c r="D1300" s="54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</row>
    <row r="1301">
      <c r="A1301" s="53"/>
      <c r="B1301" s="2"/>
      <c r="C1301" s="2"/>
      <c r="D1301" s="54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</row>
    <row r="1302">
      <c r="A1302" s="53"/>
      <c r="B1302" s="2"/>
      <c r="C1302" s="2"/>
      <c r="D1302" s="54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</row>
    <row r="1303">
      <c r="A1303" s="53"/>
      <c r="B1303" s="2"/>
      <c r="C1303" s="2"/>
      <c r="D1303" s="54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</row>
    <row r="1304">
      <c r="A1304" s="53"/>
      <c r="B1304" s="2"/>
      <c r="C1304" s="2"/>
      <c r="D1304" s="54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</row>
    <row r="1305">
      <c r="A1305" s="53"/>
      <c r="B1305" s="2"/>
      <c r="C1305" s="2"/>
      <c r="D1305" s="54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</row>
    <row r="1306">
      <c r="A1306" s="53"/>
      <c r="B1306" s="2"/>
      <c r="C1306" s="2"/>
      <c r="D1306" s="54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</row>
    <row r="1307">
      <c r="A1307" s="53"/>
      <c r="B1307" s="2"/>
      <c r="C1307" s="2"/>
      <c r="D1307" s="54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</row>
    <row r="1308">
      <c r="A1308" s="53"/>
      <c r="B1308" s="2"/>
      <c r="C1308" s="2"/>
      <c r="D1308" s="54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</row>
    <row r="1309">
      <c r="A1309" s="53"/>
      <c r="B1309" s="2"/>
      <c r="C1309" s="2"/>
      <c r="D1309" s="54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</row>
    <row r="1310">
      <c r="A1310" s="53"/>
      <c r="B1310" s="2"/>
      <c r="C1310" s="2"/>
      <c r="D1310" s="54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</row>
    <row r="1311">
      <c r="A1311" s="53"/>
      <c r="B1311" s="2"/>
      <c r="C1311" s="2"/>
      <c r="D1311" s="54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</row>
    <row r="1312">
      <c r="A1312" s="53"/>
      <c r="B1312" s="2"/>
      <c r="C1312" s="2"/>
      <c r="D1312" s="54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</row>
    <row r="1313">
      <c r="A1313" s="53"/>
      <c r="B1313" s="2"/>
      <c r="C1313" s="2"/>
      <c r="D1313" s="54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</row>
    <row r="1314">
      <c r="A1314" s="53"/>
      <c r="B1314" s="2"/>
      <c r="C1314" s="2"/>
      <c r="D1314" s="54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</row>
    <row r="1315">
      <c r="A1315" s="53"/>
      <c r="B1315" s="2"/>
      <c r="C1315" s="2"/>
      <c r="D1315" s="54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</row>
    <row r="1316">
      <c r="A1316" s="53"/>
      <c r="B1316" s="2"/>
      <c r="C1316" s="2"/>
      <c r="D1316" s="54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</row>
    <row r="1317">
      <c r="A1317" s="53"/>
      <c r="B1317" s="2"/>
      <c r="C1317" s="2"/>
      <c r="D1317" s="54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</row>
    <row r="1318">
      <c r="A1318" s="53"/>
      <c r="B1318" s="2"/>
      <c r="C1318" s="2"/>
      <c r="D1318" s="54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</row>
    <row r="1319">
      <c r="A1319" s="53"/>
      <c r="B1319" s="2"/>
      <c r="C1319" s="2"/>
      <c r="D1319" s="54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</row>
    <row r="1320">
      <c r="A1320" s="53"/>
      <c r="B1320" s="2"/>
      <c r="C1320" s="2"/>
      <c r="D1320" s="54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</row>
    <row r="1321">
      <c r="A1321" s="53"/>
      <c r="B1321" s="2"/>
      <c r="C1321" s="2"/>
      <c r="D1321" s="54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</row>
    <row r="1322">
      <c r="A1322" s="53"/>
      <c r="B1322" s="2"/>
      <c r="C1322" s="2"/>
      <c r="D1322" s="54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</row>
    <row r="1323">
      <c r="A1323" s="53"/>
      <c r="B1323" s="2"/>
      <c r="C1323" s="2"/>
      <c r="D1323" s="54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</row>
    <row r="1324">
      <c r="A1324" s="53"/>
      <c r="B1324" s="2"/>
      <c r="C1324" s="2"/>
      <c r="D1324" s="54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</row>
    <row r="1325">
      <c r="A1325" s="53"/>
      <c r="B1325" s="2"/>
      <c r="C1325" s="2"/>
      <c r="D1325" s="54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</row>
    <row r="1326">
      <c r="A1326" s="53"/>
      <c r="B1326" s="2"/>
      <c r="C1326" s="2"/>
      <c r="D1326" s="54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</row>
    <row r="1327">
      <c r="A1327" s="53"/>
      <c r="B1327" s="2"/>
      <c r="C1327" s="2"/>
      <c r="D1327" s="54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</row>
    <row r="1328">
      <c r="A1328" s="53"/>
      <c r="B1328" s="2"/>
      <c r="C1328" s="2"/>
      <c r="D1328" s="54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</row>
    <row r="1329">
      <c r="A1329" s="53"/>
      <c r="B1329" s="2"/>
      <c r="C1329" s="2"/>
      <c r="D1329" s="54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</row>
    <row r="1330">
      <c r="A1330" s="53"/>
      <c r="B1330" s="2"/>
      <c r="C1330" s="2"/>
      <c r="D1330" s="54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</row>
    <row r="1331">
      <c r="A1331" s="53"/>
      <c r="B1331" s="2"/>
      <c r="C1331" s="2"/>
      <c r="D1331" s="54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</row>
    <row r="1332">
      <c r="A1332" s="53"/>
      <c r="B1332" s="2"/>
      <c r="C1332" s="2"/>
      <c r="D1332" s="54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</row>
    <row r="1333">
      <c r="A1333" s="53"/>
      <c r="B1333" s="2"/>
      <c r="C1333" s="2"/>
      <c r="D1333" s="54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</row>
    <row r="1334">
      <c r="A1334" s="53"/>
      <c r="B1334" s="2"/>
      <c r="C1334" s="2"/>
      <c r="D1334" s="54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</row>
    <row r="1335">
      <c r="A1335" s="53"/>
      <c r="B1335" s="2"/>
      <c r="C1335" s="2"/>
      <c r="D1335" s="54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</row>
    <row r="1336">
      <c r="A1336" s="53"/>
      <c r="B1336" s="2"/>
      <c r="C1336" s="2"/>
      <c r="D1336" s="54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</row>
    <row r="1337">
      <c r="A1337" s="53"/>
      <c r="B1337" s="2"/>
      <c r="C1337" s="2"/>
      <c r="D1337" s="54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</row>
    <row r="1338">
      <c r="A1338" s="53"/>
      <c r="B1338" s="2"/>
      <c r="C1338" s="2"/>
      <c r="D1338" s="54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</row>
    <row r="1339">
      <c r="A1339" s="53"/>
      <c r="B1339" s="2"/>
      <c r="C1339" s="2"/>
      <c r="D1339" s="54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</row>
    <row r="1340">
      <c r="A1340" s="53"/>
      <c r="B1340" s="2"/>
      <c r="C1340" s="2"/>
      <c r="D1340" s="54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</row>
    <row r="1341">
      <c r="A1341" s="53"/>
      <c r="B1341" s="2"/>
      <c r="C1341" s="2"/>
      <c r="D1341" s="54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</row>
    <row r="1342">
      <c r="A1342" s="53"/>
      <c r="B1342" s="2"/>
      <c r="C1342" s="2"/>
      <c r="D1342" s="54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</row>
    <row r="1343">
      <c r="A1343" s="53"/>
      <c r="B1343" s="2"/>
      <c r="C1343" s="2"/>
      <c r="D1343" s="54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</row>
    <row r="1344">
      <c r="A1344" s="53"/>
      <c r="B1344" s="2"/>
      <c r="C1344" s="2"/>
      <c r="D1344" s="54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</row>
    <row r="1345">
      <c r="A1345" s="53"/>
      <c r="B1345" s="2"/>
      <c r="C1345" s="2"/>
      <c r="D1345" s="54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</row>
    <row r="1346">
      <c r="A1346" s="53"/>
      <c r="B1346" s="2"/>
      <c r="C1346" s="2"/>
      <c r="D1346" s="54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</row>
    <row r="1347">
      <c r="A1347" s="53"/>
      <c r="B1347" s="2"/>
      <c r="C1347" s="2"/>
      <c r="D1347" s="54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</row>
    <row r="1348">
      <c r="A1348" s="53"/>
      <c r="B1348" s="2"/>
      <c r="C1348" s="2"/>
      <c r="D1348" s="54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</row>
    <row r="1349">
      <c r="A1349" s="53"/>
      <c r="B1349" s="2"/>
      <c r="C1349" s="2"/>
      <c r="D1349" s="54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</row>
    <row r="1350">
      <c r="A1350" s="53"/>
      <c r="B1350" s="2"/>
      <c r="C1350" s="2"/>
      <c r="D1350" s="54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</row>
    <row r="1351">
      <c r="A1351" s="53"/>
      <c r="B1351" s="2"/>
      <c r="C1351" s="2"/>
      <c r="D1351" s="54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</row>
    <row r="1352">
      <c r="A1352" s="53"/>
      <c r="B1352" s="2"/>
      <c r="C1352" s="2"/>
      <c r="D1352" s="54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</row>
    <row r="1353">
      <c r="A1353" s="53"/>
      <c r="B1353" s="2"/>
      <c r="C1353" s="2"/>
      <c r="D1353" s="54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</row>
    <row r="1354">
      <c r="A1354" s="53"/>
      <c r="B1354" s="2"/>
      <c r="C1354" s="2"/>
      <c r="D1354" s="54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</row>
    <row r="1355">
      <c r="A1355" s="53"/>
      <c r="B1355" s="2"/>
      <c r="C1355" s="2"/>
      <c r="D1355" s="54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</row>
    <row r="1356">
      <c r="A1356" s="53"/>
      <c r="B1356" s="2"/>
      <c r="C1356" s="2"/>
      <c r="D1356" s="54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</row>
    <row r="1357">
      <c r="A1357" s="53"/>
      <c r="B1357" s="2"/>
      <c r="C1357" s="2"/>
      <c r="D1357" s="54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</row>
    <row r="1358">
      <c r="A1358" s="53"/>
      <c r="B1358" s="2"/>
      <c r="C1358" s="2"/>
      <c r="D1358" s="54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</row>
    <row r="1359">
      <c r="A1359" s="53"/>
      <c r="B1359" s="2"/>
      <c r="C1359" s="2"/>
      <c r="D1359" s="54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</row>
    <row r="1360">
      <c r="A1360" s="53"/>
      <c r="B1360" s="2"/>
      <c r="C1360" s="2"/>
      <c r="D1360" s="54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</row>
    <row r="1361">
      <c r="A1361" s="53"/>
      <c r="B1361" s="2"/>
      <c r="C1361" s="2"/>
      <c r="D1361" s="54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</row>
    <row r="1362">
      <c r="A1362" s="53"/>
      <c r="B1362" s="2"/>
      <c r="C1362" s="2"/>
      <c r="D1362" s="54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</row>
    <row r="1363">
      <c r="A1363" s="53"/>
      <c r="B1363" s="2"/>
      <c r="C1363" s="2"/>
      <c r="D1363" s="54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</row>
    <row r="1364">
      <c r="A1364" s="53"/>
      <c r="B1364" s="2"/>
      <c r="C1364" s="2"/>
      <c r="D1364" s="54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</row>
    <row r="1365">
      <c r="A1365" s="53"/>
      <c r="B1365" s="2"/>
      <c r="C1365" s="2"/>
      <c r="D1365" s="54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</row>
    <row r="1366">
      <c r="A1366" s="53"/>
      <c r="B1366" s="2"/>
      <c r="C1366" s="2"/>
      <c r="D1366" s="54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</row>
    <row r="1367">
      <c r="A1367" s="53"/>
      <c r="B1367" s="2"/>
      <c r="C1367" s="2"/>
      <c r="D1367" s="54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</row>
    <row r="1368">
      <c r="A1368" s="53"/>
      <c r="B1368" s="2"/>
      <c r="C1368" s="2"/>
      <c r="D1368" s="54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</row>
    <row r="1369">
      <c r="A1369" s="53"/>
      <c r="B1369" s="2"/>
      <c r="C1369" s="2"/>
      <c r="D1369" s="54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</row>
    <row r="1370">
      <c r="A1370" s="53"/>
      <c r="B1370" s="2"/>
      <c r="C1370" s="2"/>
      <c r="D1370" s="54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</row>
    <row r="1371">
      <c r="A1371" s="53"/>
      <c r="B1371" s="2"/>
      <c r="C1371" s="2"/>
      <c r="D1371" s="54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</row>
    <row r="1372">
      <c r="A1372" s="53"/>
      <c r="B1372" s="2"/>
      <c r="C1372" s="2"/>
      <c r="D1372" s="54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</row>
    <row r="1373">
      <c r="A1373" s="53"/>
      <c r="B1373" s="2"/>
      <c r="C1373" s="2"/>
      <c r="D1373" s="54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</row>
    <row r="1374">
      <c r="A1374" s="53"/>
      <c r="B1374" s="2"/>
      <c r="C1374" s="2"/>
      <c r="D1374" s="54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</row>
    <row r="1375">
      <c r="A1375" s="53"/>
      <c r="B1375" s="2"/>
      <c r="C1375" s="2"/>
      <c r="D1375" s="54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</row>
    <row r="1376">
      <c r="A1376" s="53"/>
      <c r="B1376" s="2"/>
      <c r="C1376" s="2"/>
      <c r="D1376" s="54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</row>
    <row r="1377">
      <c r="A1377" s="53"/>
      <c r="B1377" s="2"/>
      <c r="C1377" s="2"/>
      <c r="D1377" s="54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</row>
    <row r="1378">
      <c r="A1378" s="53"/>
      <c r="B1378" s="2"/>
      <c r="C1378" s="2"/>
      <c r="D1378" s="54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</row>
    <row r="1379">
      <c r="A1379" s="53"/>
      <c r="B1379" s="2"/>
      <c r="C1379" s="2"/>
      <c r="D1379" s="54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</row>
    <row r="1380">
      <c r="A1380" s="53"/>
      <c r="B1380" s="2"/>
      <c r="C1380" s="2"/>
      <c r="D1380" s="54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</row>
    <row r="1381">
      <c r="A1381" s="53"/>
      <c r="B1381" s="2"/>
      <c r="C1381" s="2"/>
      <c r="D1381" s="54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</row>
    <row r="1382">
      <c r="A1382" s="53"/>
      <c r="B1382" s="2"/>
      <c r="C1382" s="2"/>
      <c r="D1382" s="54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</row>
    <row r="1383">
      <c r="A1383" s="53"/>
      <c r="B1383" s="2"/>
      <c r="C1383" s="2"/>
      <c r="D1383" s="54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</row>
    <row r="1384">
      <c r="A1384" s="53"/>
      <c r="B1384" s="2"/>
      <c r="C1384" s="2"/>
      <c r="D1384" s="54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</row>
    <row r="1385">
      <c r="A1385" s="53"/>
      <c r="B1385" s="2"/>
      <c r="C1385" s="2"/>
      <c r="D1385" s="54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</row>
    <row r="1386">
      <c r="A1386" s="53"/>
      <c r="B1386" s="2"/>
      <c r="C1386" s="2"/>
      <c r="D1386" s="54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</row>
    <row r="1387">
      <c r="A1387" s="53"/>
      <c r="B1387" s="2"/>
      <c r="C1387" s="2"/>
      <c r="D1387" s="54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</row>
    <row r="1388">
      <c r="A1388" s="53"/>
      <c r="B1388" s="2"/>
      <c r="C1388" s="2"/>
      <c r="D1388" s="54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</row>
    <row r="1389">
      <c r="A1389" s="53"/>
      <c r="B1389" s="2"/>
      <c r="C1389" s="2"/>
      <c r="D1389" s="54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</row>
    <row r="1390">
      <c r="A1390" s="53"/>
      <c r="B1390" s="2"/>
      <c r="C1390" s="2"/>
      <c r="D1390" s="54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</row>
    <row r="1391">
      <c r="A1391" s="53"/>
      <c r="B1391" s="2"/>
      <c r="C1391" s="2"/>
      <c r="D1391" s="54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</row>
    <row r="1392">
      <c r="A1392" s="53"/>
      <c r="B1392" s="2"/>
      <c r="C1392" s="2"/>
      <c r="D1392" s="54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</row>
    <row r="1393">
      <c r="A1393" s="53"/>
      <c r="B1393" s="2"/>
      <c r="C1393" s="2"/>
      <c r="D1393" s="54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</row>
    <row r="1394">
      <c r="A1394" s="53"/>
      <c r="B1394" s="2"/>
      <c r="C1394" s="2"/>
      <c r="D1394" s="54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</row>
    <row r="1395">
      <c r="A1395" s="53"/>
      <c r="B1395" s="2"/>
      <c r="C1395" s="2"/>
      <c r="D1395" s="54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</row>
    <row r="1396">
      <c r="A1396" s="53"/>
      <c r="B1396" s="2"/>
      <c r="C1396" s="2"/>
      <c r="D1396" s="54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</row>
    <row r="1397">
      <c r="A1397" s="53"/>
      <c r="B1397" s="2"/>
      <c r="C1397" s="2"/>
      <c r="D1397" s="54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</row>
    <row r="1398">
      <c r="A1398" s="53"/>
      <c r="B1398" s="2"/>
      <c r="C1398" s="2"/>
      <c r="D1398" s="54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</row>
    <row r="1399">
      <c r="A1399" s="53"/>
      <c r="B1399" s="2"/>
      <c r="C1399" s="2"/>
      <c r="D1399" s="54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</row>
    <row r="1400">
      <c r="A1400" s="53"/>
      <c r="B1400" s="2"/>
      <c r="C1400" s="2"/>
      <c r="D1400" s="54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</row>
    <row r="1401">
      <c r="A1401" s="53"/>
      <c r="B1401" s="2"/>
      <c r="C1401" s="2"/>
      <c r="D1401" s="54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</row>
    <row r="1402">
      <c r="A1402" s="53"/>
      <c r="B1402" s="2"/>
      <c r="C1402" s="2"/>
      <c r="D1402" s="54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</row>
    <row r="1403">
      <c r="A1403" s="53"/>
      <c r="B1403" s="2"/>
      <c r="C1403" s="2"/>
      <c r="D1403" s="54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</row>
    <row r="1404">
      <c r="A1404" s="53"/>
      <c r="B1404" s="2"/>
      <c r="C1404" s="2"/>
      <c r="D1404" s="54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</row>
    <row r="1405">
      <c r="A1405" s="53"/>
      <c r="B1405" s="2"/>
      <c r="C1405" s="2"/>
      <c r="D1405" s="54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</row>
    <row r="1406">
      <c r="A1406" s="53"/>
      <c r="B1406" s="2"/>
      <c r="C1406" s="2"/>
      <c r="D1406" s="54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</row>
    <row r="1407">
      <c r="A1407" s="53"/>
      <c r="B1407" s="2"/>
      <c r="C1407" s="2"/>
      <c r="D1407" s="54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</row>
    <row r="1408">
      <c r="A1408" s="53"/>
      <c r="B1408" s="2"/>
      <c r="C1408" s="2"/>
      <c r="D1408" s="54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</row>
    <row r="1409">
      <c r="A1409" s="53"/>
      <c r="B1409" s="2"/>
      <c r="C1409" s="2"/>
      <c r="D1409" s="54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</row>
    <row r="1410">
      <c r="A1410" s="53"/>
      <c r="B1410" s="2"/>
      <c r="C1410" s="2"/>
      <c r="D1410" s="54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</row>
    <row r="1411">
      <c r="A1411" s="53"/>
      <c r="B1411" s="2"/>
      <c r="C1411" s="2"/>
      <c r="D1411" s="54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</row>
    <row r="1412">
      <c r="A1412" s="53"/>
      <c r="B1412" s="2"/>
      <c r="C1412" s="2"/>
      <c r="D1412" s="54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</row>
    <row r="1413">
      <c r="A1413" s="53"/>
      <c r="B1413" s="2"/>
      <c r="C1413" s="2"/>
      <c r="D1413" s="54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</row>
    <row r="1414">
      <c r="A1414" s="53"/>
      <c r="B1414" s="2"/>
      <c r="C1414" s="2"/>
      <c r="D1414" s="54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</row>
    <row r="1415">
      <c r="A1415" s="53"/>
      <c r="B1415" s="2"/>
      <c r="C1415" s="2"/>
      <c r="D1415" s="54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</row>
    <row r="1416">
      <c r="A1416" s="53"/>
      <c r="B1416" s="2"/>
      <c r="C1416" s="2"/>
      <c r="D1416" s="54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</row>
    <row r="1417">
      <c r="A1417" s="53"/>
      <c r="B1417" s="2"/>
      <c r="C1417" s="2"/>
      <c r="D1417" s="54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</row>
    <row r="1418">
      <c r="A1418" s="53"/>
      <c r="B1418" s="2"/>
      <c r="C1418" s="2"/>
      <c r="D1418" s="54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</row>
    <row r="1419">
      <c r="A1419" s="53"/>
      <c r="B1419" s="2"/>
      <c r="C1419" s="2"/>
      <c r="D1419" s="54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</row>
    <row r="1420">
      <c r="A1420" s="53"/>
      <c r="B1420" s="2"/>
      <c r="C1420" s="2"/>
      <c r="D1420" s="54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</row>
    <row r="1421">
      <c r="A1421" s="53"/>
      <c r="B1421" s="2"/>
      <c r="C1421" s="2"/>
      <c r="D1421" s="54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</row>
    <row r="1422">
      <c r="A1422" s="53"/>
      <c r="B1422" s="2"/>
      <c r="C1422" s="2"/>
      <c r="D1422" s="54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</row>
    <row r="1423">
      <c r="A1423" s="53"/>
      <c r="B1423" s="2"/>
      <c r="C1423" s="2"/>
      <c r="D1423" s="54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</row>
    <row r="1424">
      <c r="A1424" s="53"/>
      <c r="B1424" s="2"/>
      <c r="C1424" s="2"/>
      <c r="D1424" s="54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</row>
    <row r="1425">
      <c r="A1425" s="53"/>
      <c r="B1425" s="2"/>
      <c r="C1425" s="2"/>
      <c r="D1425" s="54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</row>
    <row r="1426">
      <c r="A1426" s="53"/>
      <c r="B1426" s="2"/>
      <c r="C1426" s="2"/>
      <c r="D1426" s="54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</row>
    <row r="1427">
      <c r="A1427" s="53"/>
      <c r="B1427" s="2"/>
      <c r="C1427" s="2"/>
      <c r="D1427" s="54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</row>
    <row r="1428">
      <c r="A1428" s="53"/>
      <c r="B1428" s="2"/>
      <c r="C1428" s="2"/>
      <c r="D1428" s="54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</row>
    <row r="1429">
      <c r="A1429" s="53"/>
      <c r="B1429" s="2"/>
      <c r="C1429" s="2"/>
      <c r="D1429" s="54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</row>
    <row r="1430">
      <c r="A1430" s="53"/>
      <c r="B1430" s="2"/>
      <c r="C1430" s="2"/>
      <c r="D1430" s="54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</row>
    <row r="1431">
      <c r="A1431" s="53"/>
      <c r="B1431" s="2"/>
      <c r="C1431" s="2"/>
      <c r="D1431" s="54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</row>
    <row r="1432">
      <c r="A1432" s="53"/>
      <c r="B1432" s="2"/>
      <c r="C1432" s="2"/>
      <c r="D1432" s="54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</row>
    <row r="1433">
      <c r="A1433" s="53"/>
      <c r="B1433" s="2"/>
      <c r="C1433" s="2"/>
      <c r="D1433" s="54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</row>
    <row r="1434">
      <c r="A1434" s="53"/>
      <c r="B1434" s="2"/>
      <c r="C1434" s="2"/>
      <c r="D1434" s="54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</row>
    <row r="1435">
      <c r="A1435" s="53"/>
      <c r="B1435" s="2"/>
      <c r="C1435" s="2"/>
      <c r="D1435" s="54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</row>
    <row r="1436">
      <c r="A1436" s="53"/>
      <c r="B1436" s="2"/>
      <c r="C1436" s="2"/>
      <c r="D1436" s="54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</row>
    <row r="1437">
      <c r="A1437" s="53"/>
      <c r="B1437" s="2"/>
      <c r="C1437" s="2"/>
      <c r="D1437" s="54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</row>
    <row r="1438">
      <c r="A1438" s="53"/>
      <c r="B1438" s="2"/>
      <c r="C1438" s="2"/>
      <c r="D1438" s="54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</row>
    <row r="1439">
      <c r="A1439" s="53"/>
      <c r="B1439" s="2"/>
      <c r="C1439" s="2"/>
      <c r="D1439" s="54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</row>
    <row r="1440">
      <c r="A1440" s="53"/>
      <c r="B1440" s="2"/>
      <c r="C1440" s="2"/>
      <c r="D1440" s="54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</row>
    <row r="1441">
      <c r="A1441" s="53"/>
      <c r="B1441" s="2"/>
      <c r="C1441" s="2"/>
      <c r="D1441" s="54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</row>
    <row r="1442">
      <c r="A1442" s="53"/>
      <c r="B1442" s="2"/>
      <c r="C1442" s="2"/>
      <c r="D1442" s="54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</row>
    <row r="1443">
      <c r="A1443" s="53"/>
      <c r="B1443" s="2"/>
      <c r="C1443" s="2"/>
      <c r="D1443" s="54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</row>
    <row r="1444">
      <c r="A1444" s="53"/>
      <c r="B1444" s="2"/>
      <c r="C1444" s="2"/>
      <c r="D1444" s="54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</row>
    <row r="1445">
      <c r="A1445" s="53"/>
      <c r="B1445" s="2"/>
      <c r="C1445" s="2"/>
      <c r="D1445" s="54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</row>
    <row r="1446">
      <c r="A1446" s="53"/>
      <c r="B1446" s="2"/>
      <c r="C1446" s="2"/>
      <c r="D1446" s="54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</row>
    <row r="1447">
      <c r="A1447" s="53"/>
      <c r="B1447" s="2"/>
      <c r="C1447" s="2"/>
      <c r="D1447" s="54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</row>
    <row r="1448">
      <c r="A1448" s="53"/>
      <c r="B1448" s="2"/>
      <c r="C1448" s="2"/>
      <c r="D1448" s="54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</row>
    <row r="1449">
      <c r="A1449" s="53"/>
      <c r="B1449" s="2"/>
      <c r="C1449" s="2"/>
      <c r="D1449" s="54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</row>
    <row r="1450">
      <c r="A1450" s="53"/>
      <c r="B1450" s="2"/>
      <c r="C1450" s="2"/>
      <c r="D1450" s="54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</row>
    <row r="1451">
      <c r="A1451" s="53"/>
      <c r="B1451" s="2"/>
      <c r="C1451" s="2"/>
      <c r="D1451" s="54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</row>
    <row r="1452">
      <c r="A1452" s="53"/>
      <c r="B1452" s="2"/>
      <c r="C1452" s="2"/>
      <c r="D1452" s="54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</row>
    <row r="1453">
      <c r="A1453" s="53"/>
      <c r="B1453" s="2"/>
      <c r="C1453" s="2"/>
      <c r="D1453" s="54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</row>
    <row r="1454">
      <c r="A1454" s="53"/>
      <c r="B1454" s="2"/>
      <c r="C1454" s="2"/>
      <c r="D1454" s="54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</row>
    <row r="1455">
      <c r="A1455" s="53"/>
      <c r="B1455" s="2"/>
      <c r="C1455" s="2"/>
      <c r="D1455" s="54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</row>
    <row r="1456">
      <c r="A1456" s="53"/>
      <c r="B1456" s="2"/>
      <c r="C1456" s="2"/>
      <c r="D1456" s="54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</row>
    <row r="1457">
      <c r="A1457" s="53"/>
      <c r="B1457" s="2"/>
      <c r="C1457" s="2"/>
      <c r="D1457" s="54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</row>
    <row r="1458">
      <c r="A1458" s="53"/>
      <c r="B1458" s="2"/>
      <c r="C1458" s="2"/>
      <c r="D1458" s="54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</row>
    <row r="1459">
      <c r="A1459" s="53"/>
      <c r="B1459" s="2"/>
      <c r="C1459" s="2"/>
      <c r="D1459" s="54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</row>
    <row r="1460">
      <c r="A1460" s="53"/>
      <c r="B1460" s="2"/>
      <c r="C1460" s="2"/>
      <c r="D1460" s="54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</row>
    <row r="1461">
      <c r="A1461" s="53"/>
      <c r="B1461" s="2"/>
      <c r="C1461" s="2"/>
      <c r="D1461" s="54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</row>
    <row r="1462">
      <c r="A1462" s="53"/>
      <c r="B1462" s="2"/>
      <c r="C1462" s="2"/>
      <c r="D1462" s="54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</row>
    <row r="1463">
      <c r="A1463" s="53"/>
      <c r="B1463" s="2"/>
      <c r="C1463" s="2"/>
      <c r="D1463" s="54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</row>
    <row r="1464">
      <c r="A1464" s="53"/>
      <c r="B1464" s="2"/>
      <c r="C1464" s="2"/>
      <c r="D1464" s="54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</row>
    <row r="1465">
      <c r="A1465" s="53"/>
      <c r="B1465" s="2"/>
      <c r="C1465" s="2"/>
      <c r="D1465" s="54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</row>
    <row r="1466">
      <c r="A1466" s="53"/>
      <c r="B1466" s="2"/>
      <c r="C1466" s="2"/>
      <c r="D1466" s="54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</row>
    <row r="1467">
      <c r="A1467" s="53"/>
      <c r="B1467" s="2"/>
      <c r="C1467" s="2"/>
      <c r="D1467" s="54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</row>
    <row r="1468">
      <c r="A1468" s="53"/>
      <c r="B1468" s="2"/>
      <c r="C1468" s="2"/>
      <c r="D1468" s="54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</row>
    <row r="1469">
      <c r="A1469" s="53"/>
      <c r="B1469" s="2"/>
      <c r="C1469" s="2"/>
      <c r="D1469" s="54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</row>
    <row r="1470">
      <c r="A1470" s="53"/>
      <c r="B1470" s="2"/>
      <c r="C1470" s="2"/>
      <c r="D1470" s="54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</row>
    <row r="1471">
      <c r="A1471" s="53"/>
      <c r="B1471" s="2"/>
      <c r="C1471" s="2"/>
      <c r="D1471" s="54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</row>
    <row r="1472">
      <c r="A1472" s="53"/>
      <c r="B1472" s="2"/>
      <c r="C1472" s="2"/>
      <c r="D1472" s="54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</row>
    <row r="1473">
      <c r="A1473" s="53"/>
      <c r="B1473" s="2"/>
      <c r="C1473" s="2"/>
      <c r="D1473" s="54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</row>
    <row r="1474">
      <c r="A1474" s="53"/>
      <c r="B1474" s="2"/>
      <c r="C1474" s="2"/>
      <c r="D1474" s="54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</row>
    <row r="1475">
      <c r="A1475" s="53"/>
      <c r="B1475" s="2"/>
      <c r="C1475" s="2"/>
      <c r="D1475" s="54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</row>
    <row r="1476">
      <c r="A1476" s="53"/>
      <c r="B1476" s="2"/>
      <c r="C1476" s="2"/>
      <c r="D1476" s="54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</row>
    <row r="1477">
      <c r="A1477" s="53"/>
      <c r="B1477" s="2"/>
      <c r="C1477" s="2"/>
      <c r="D1477" s="54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</row>
    <row r="1478">
      <c r="A1478" s="53"/>
      <c r="B1478" s="2"/>
      <c r="C1478" s="2"/>
      <c r="D1478" s="54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</row>
    <row r="1479">
      <c r="A1479" s="53"/>
      <c r="B1479" s="2"/>
      <c r="C1479" s="2"/>
      <c r="D1479" s="54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</row>
    <row r="1480">
      <c r="A1480" s="53"/>
      <c r="B1480" s="2"/>
      <c r="C1480" s="2"/>
      <c r="D1480" s="54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</row>
    <row r="1481">
      <c r="A1481" s="53"/>
      <c r="B1481" s="2"/>
      <c r="C1481" s="2"/>
      <c r="D1481" s="54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</row>
    <row r="1482">
      <c r="A1482" s="53"/>
      <c r="B1482" s="2"/>
      <c r="C1482" s="2"/>
      <c r="D1482" s="54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</row>
    <row r="1483">
      <c r="A1483" s="53"/>
      <c r="B1483" s="2"/>
      <c r="C1483" s="2"/>
      <c r="D1483" s="54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</row>
    <row r="1484">
      <c r="A1484" s="53"/>
      <c r="B1484" s="2"/>
      <c r="C1484" s="2"/>
      <c r="D1484" s="54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</row>
    <row r="1485">
      <c r="A1485" s="53"/>
      <c r="B1485" s="2"/>
      <c r="C1485" s="2"/>
      <c r="D1485" s="54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</row>
    <row r="1486">
      <c r="A1486" s="53"/>
      <c r="B1486" s="2"/>
      <c r="C1486" s="2"/>
      <c r="D1486" s="54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</row>
    <row r="1487">
      <c r="A1487" s="53"/>
      <c r="B1487" s="2"/>
      <c r="C1487" s="2"/>
      <c r="D1487" s="54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</row>
    <row r="1488">
      <c r="A1488" s="53"/>
      <c r="B1488" s="2"/>
      <c r="C1488" s="2"/>
      <c r="D1488" s="54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</row>
    <row r="1489">
      <c r="A1489" s="53"/>
      <c r="B1489" s="2"/>
      <c r="C1489" s="2"/>
      <c r="D1489" s="54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</row>
    <row r="1490">
      <c r="A1490" s="53"/>
      <c r="B1490" s="2"/>
      <c r="C1490" s="2"/>
      <c r="D1490" s="54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</row>
    <row r="1491">
      <c r="A1491" s="53"/>
      <c r="B1491" s="2"/>
      <c r="C1491" s="2"/>
      <c r="D1491" s="54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</row>
    <row r="1492">
      <c r="A1492" s="53"/>
      <c r="B1492" s="2"/>
      <c r="C1492" s="2"/>
      <c r="D1492" s="54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</row>
    <row r="1493">
      <c r="A1493" s="53"/>
      <c r="B1493" s="2"/>
      <c r="C1493" s="2"/>
      <c r="D1493" s="54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</row>
    <row r="1494">
      <c r="A1494" s="53"/>
      <c r="B1494" s="2"/>
      <c r="C1494" s="2"/>
      <c r="D1494" s="54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</row>
    <row r="1495">
      <c r="A1495" s="53"/>
      <c r="B1495" s="2"/>
      <c r="C1495" s="2"/>
      <c r="D1495" s="54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</row>
    <row r="1496">
      <c r="A1496" s="53"/>
      <c r="B1496" s="2"/>
      <c r="C1496" s="2"/>
      <c r="D1496" s="54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</row>
    <row r="1497">
      <c r="A1497" s="53"/>
      <c r="B1497" s="2"/>
      <c r="C1497" s="2"/>
      <c r="D1497" s="54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</row>
    <row r="1498">
      <c r="A1498" s="53"/>
      <c r="B1498" s="2"/>
      <c r="C1498" s="2"/>
      <c r="D1498" s="54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</row>
    <row r="1499">
      <c r="A1499" s="53"/>
      <c r="B1499" s="2"/>
      <c r="C1499" s="2"/>
      <c r="D1499" s="54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</row>
    <row r="1500">
      <c r="A1500" s="53"/>
      <c r="B1500" s="2"/>
      <c r="C1500" s="2"/>
      <c r="D1500" s="54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</row>
    <row r="1501">
      <c r="A1501" s="53"/>
      <c r="B1501" s="2"/>
      <c r="C1501" s="2"/>
      <c r="D1501" s="54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</row>
    <row r="1502">
      <c r="A1502" s="53"/>
      <c r="B1502" s="2"/>
      <c r="C1502" s="2"/>
      <c r="D1502" s="54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</row>
    <row r="1503">
      <c r="A1503" s="53"/>
      <c r="B1503" s="2"/>
      <c r="C1503" s="2"/>
      <c r="D1503" s="54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</row>
    <row r="1504">
      <c r="A1504" s="53"/>
      <c r="B1504" s="2"/>
      <c r="C1504" s="2"/>
      <c r="D1504" s="54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</row>
    <row r="1505">
      <c r="A1505" s="53"/>
      <c r="B1505" s="2"/>
      <c r="C1505" s="2"/>
      <c r="D1505" s="54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</row>
    <row r="1506">
      <c r="A1506" s="53"/>
      <c r="B1506" s="2"/>
      <c r="C1506" s="2"/>
      <c r="D1506" s="54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</row>
    <row r="1507">
      <c r="A1507" s="53"/>
      <c r="B1507" s="2"/>
      <c r="C1507" s="2"/>
      <c r="D1507" s="54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</row>
    <row r="1508">
      <c r="A1508" s="53"/>
      <c r="B1508" s="2"/>
      <c r="C1508" s="2"/>
      <c r="D1508" s="54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</row>
    <row r="1509">
      <c r="A1509" s="53"/>
      <c r="B1509" s="2"/>
      <c r="C1509" s="2"/>
      <c r="D1509" s="54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</row>
    <row r="1510">
      <c r="A1510" s="53"/>
      <c r="B1510" s="2"/>
      <c r="C1510" s="2"/>
      <c r="D1510" s="54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</row>
    <row r="1511">
      <c r="A1511" s="53"/>
      <c r="B1511" s="2"/>
      <c r="C1511" s="2"/>
      <c r="D1511" s="54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</row>
    <row r="1512">
      <c r="A1512" s="53"/>
      <c r="B1512" s="2"/>
      <c r="C1512" s="2"/>
      <c r="D1512" s="54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</row>
    <row r="1513">
      <c r="A1513" s="53"/>
      <c r="B1513" s="2"/>
      <c r="C1513" s="2"/>
      <c r="D1513" s="54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</row>
    <row r="1514">
      <c r="A1514" s="53"/>
      <c r="B1514" s="2"/>
      <c r="C1514" s="2"/>
      <c r="D1514" s="54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</row>
    <row r="1515">
      <c r="A1515" s="53"/>
      <c r="B1515" s="2"/>
      <c r="C1515" s="2"/>
      <c r="D1515" s="54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</row>
    <row r="1516">
      <c r="A1516" s="53"/>
      <c r="B1516" s="2"/>
      <c r="C1516" s="2"/>
      <c r="D1516" s="54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</row>
    <row r="1517">
      <c r="A1517" s="53"/>
      <c r="B1517" s="2"/>
      <c r="C1517" s="2"/>
      <c r="D1517" s="54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</row>
    <row r="1518">
      <c r="A1518" s="53"/>
      <c r="B1518" s="2"/>
      <c r="C1518" s="2"/>
      <c r="D1518" s="54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</row>
    <row r="1519">
      <c r="A1519" s="53"/>
      <c r="B1519" s="2"/>
      <c r="C1519" s="2"/>
      <c r="D1519" s="54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</row>
    <row r="1520">
      <c r="A1520" s="53"/>
      <c r="B1520" s="2"/>
      <c r="C1520" s="2"/>
      <c r="D1520" s="54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</row>
    <row r="1521">
      <c r="A1521" s="53"/>
      <c r="B1521" s="2"/>
      <c r="C1521" s="2"/>
      <c r="D1521" s="54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</row>
    <row r="1522">
      <c r="A1522" s="53"/>
      <c r="B1522" s="2"/>
      <c r="C1522" s="2"/>
      <c r="D1522" s="54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</row>
    <row r="1523">
      <c r="A1523" s="53"/>
      <c r="B1523" s="2"/>
      <c r="C1523" s="2"/>
      <c r="D1523" s="54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</row>
    <row r="1524">
      <c r="A1524" s="53"/>
      <c r="B1524" s="2"/>
      <c r="C1524" s="2"/>
      <c r="D1524" s="54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</row>
    <row r="1525">
      <c r="A1525" s="53"/>
      <c r="B1525" s="2"/>
      <c r="C1525" s="2"/>
      <c r="D1525" s="54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</row>
    <row r="1526">
      <c r="A1526" s="53"/>
      <c r="B1526" s="2"/>
      <c r="C1526" s="2"/>
      <c r="D1526" s="54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</row>
    <row r="1527">
      <c r="A1527" s="53"/>
      <c r="B1527" s="2"/>
      <c r="C1527" s="2"/>
      <c r="D1527" s="54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</row>
    <row r="1528">
      <c r="A1528" s="53"/>
      <c r="B1528" s="2"/>
      <c r="C1528" s="2"/>
      <c r="D1528" s="54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</row>
    <row r="1529">
      <c r="A1529" s="53"/>
      <c r="B1529" s="2"/>
      <c r="C1529" s="2"/>
      <c r="D1529" s="54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</row>
    <row r="1530">
      <c r="A1530" s="53"/>
      <c r="B1530" s="2"/>
      <c r="C1530" s="2"/>
      <c r="D1530" s="54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</row>
    <row r="1531">
      <c r="A1531" s="53"/>
      <c r="B1531" s="2"/>
      <c r="C1531" s="2"/>
      <c r="D1531" s="54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</row>
    <row r="1532">
      <c r="A1532" s="53"/>
      <c r="B1532" s="2"/>
      <c r="C1532" s="2"/>
      <c r="D1532" s="54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</row>
    <row r="1533">
      <c r="A1533" s="53"/>
      <c r="B1533" s="2"/>
      <c r="C1533" s="2"/>
      <c r="D1533" s="54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</row>
    <row r="1534">
      <c r="A1534" s="53"/>
      <c r="B1534" s="2"/>
      <c r="C1534" s="2"/>
      <c r="D1534" s="54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</row>
    <row r="1535">
      <c r="A1535" s="53"/>
      <c r="B1535" s="2"/>
      <c r="C1535" s="2"/>
      <c r="D1535" s="54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</row>
    <row r="1536">
      <c r="A1536" s="53"/>
      <c r="B1536" s="2"/>
      <c r="C1536" s="2"/>
      <c r="D1536" s="54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</row>
    <row r="1537">
      <c r="A1537" s="53"/>
      <c r="B1537" s="2"/>
      <c r="C1537" s="2"/>
      <c r="D1537" s="54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</row>
    <row r="1538">
      <c r="A1538" s="53"/>
      <c r="B1538" s="2"/>
      <c r="C1538" s="2"/>
      <c r="D1538" s="54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</row>
    <row r="1539">
      <c r="A1539" s="53"/>
      <c r="B1539" s="2"/>
      <c r="C1539" s="2"/>
      <c r="D1539" s="54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</row>
    <row r="1540">
      <c r="A1540" s="53"/>
      <c r="B1540" s="2"/>
      <c r="C1540" s="2"/>
      <c r="D1540" s="54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</row>
    <row r="1541">
      <c r="A1541" s="53"/>
      <c r="B1541" s="2"/>
      <c r="C1541" s="2"/>
      <c r="D1541" s="54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</row>
    <row r="1542">
      <c r="A1542" s="53"/>
      <c r="B1542" s="2"/>
      <c r="C1542" s="2"/>
      <c r="D1542" s="54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</row>
    <row r="1543">
      <c r="A1543" s="53"/>
      <c r="B1543" s="2"/>
      <c r="C1543" s="2"/>
      <c r="D1543" s="54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</row>
    <row r="1544">
      <c r="A1544" s="53"/>
      <c r="B1544" s="2"/>
      <c r="C1544" s="2"/>
      <c r="D1544" s="54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</row>
    <row r="1545">
      <c r="A1545" s="53"/>
      <c r="B1545" s="2"/>
      <c r="C1545" s="2"/>
      <c r="D1545" s="54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</row>
    <row r="1546">
      <c r="A1546" s="53"/>
      <c r="B1546" s="2"/>
      <c r="C1546" s="2"/>
      <c r="D1546" s="54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</row>
    <row r="1547">
      <c r="A1547" s="53"/>
      <c r="B1547" s="2"/>
      <c r="C1547" s="2"/>
      <c r="D1547" s="54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</row>
    <row r="1548">
      <c r="A1548" s="53"/>
      <c r="B1548" s="2"/>
      <c r="C1548" s="2"/>
      <c r="D1548" s="54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</row>
    <row r="1549">
      <c r="A1549" s="53"/>
      <c r="B1549" s="2"/>
      <c r="C1549" s="2"/>
      <c r="D1549" s="54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</row>
    <row r="1550">
      <c r="A1550" s="53"/>
      <c r="B1550" s="2"/>
      <c r="C1550" s="2"/>
      <c r="D1550" s="54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</row>
    <row r="1551">
      <c r="A1551" s="53"/>
      <c r="B1551" s="2"/>
      <c r="C1551" s="2"/>
      <c r="D1551" s="54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</row>
    <row r="1552">
      <c r="A1552" s="53"/>
      <c r="B1552" s="2"/>
      <c r="C1552" s="2"/>
      <c r="D1552" s="54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</row>
    <row r="1553">
      <c r="A1553" s="53"/>
      <c r="B1553" s="2"/>
      <c r="C1553" s="2"/>
      <c r="D1553" s="54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</row>
    <row r="1554">
      <c r="A1554" s="53"/>
      <c r="B1554" s="2"/>
      <c r="C1554" s="2"/>
      <c r="D1554" s="54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</row>
    <row r="1555">
      <c r="A1555" s="53"/>
      <c r="B1555" s="2"/>
      <c r="C1555" s="2"/>
      <c r="D1555" s="54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</row>
    <row r="1556">
      <c r="A1556" s="53"/>
      <c r="B1556" s="2"/>
      <c r="C1556" s="2"/>
      <c r="D1556" s="54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</row>
    <row r="1557">
      <c r="A1557" s="53"/>
      <c r="B1557" s="2"/>
      <c r="C1557" s="2"/>
      <c r="D1557" s="54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</row>
    <row r="1558">
      <c r="A1558" s="53"/>
      <c r="B1558" s="2"/>
      <c r="C1558" s="2"/>
      <c r="D1558" s="54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</row>
    <row r="1559">
      <c r="A1559" s="53"/>
      <c r="B1559" s="2"/>
      <c r="C1559" s="2"/>
      <c r="D1559" s="54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</row>
    <row r="1560">
      <c r="A1560" s="53"/>
      <c r="B1560" s="2"/>
      <c r="C1560" s="2"/>
      <c r="D1560" s="54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</row>
    <row r="1561">
      <c r="A1561" s="53"/>
      <c r="B1561" s="2"/>
      <c r="C1561" s="2"/>
      <c r="D1561" s="54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</row>
    <row r="1562">
      <c r="A1562" s="53"/>
      <c r="B1562" s="2"/>
      <c r="C1562" s="2"/>
      <c r="D1562" s="54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</row>
    <row r="1563">
      <c r="A1563" s="53"/>
      <c r="B1563" s="2"/>
      <c r="C1563" s="2"/>
      <c r="D1563" s="54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</row>
    <row r="1564">
      <c r="A1564" s="53"/>
      <c r="B1564" s="2"/>
      <c r="C1564" s="2"/>
      <c r="D1564" s="54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</row>
    <row r="1565">
      <c r="A1565" s="53"/>
      <c r="B1565" s="2"/>
      <c r="C1565" s="2"/>
      <c r="D1565" s="54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</row>
    <row r="1566">
      <c r="A1566" s="53"/>
      <c r="B1566" s="2"/>
      <c r="C1566" s="2"/>
      <c r="D1566" s="54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</row>
    <row r="1567">
      <c r="A1567" s="53"/>
      <c r="B1567" s="2"/>
      <c r="C1567" s="2"/>
      <c r="D1567" s="54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</row>
    <row r="1568">
      <c r="A1568" s="53"/>
      <c r="B1568" s="2"/>
      <c r="C1568" s="2"/>
      <c r="D1568" s="54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</row>
    <row r="1569">
      <c r="A1569" s="53"/>
      <c r="B1569" s="2"/>
      <c r="C1569" s="2"/>
      <c r="D1569" s="54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</row>
    <row r="1570">
      <c r="A1570" s="53"/>
      <c r="B1570" s="2"/>
      <c r="C1570" s="2"/>
      <c r="D1570" s="54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</row>
    <row r="1571">
      <c r="A1571" s="53"/>
      <c r="B1571" s="2"/>
      <c r="C1571" s="2"/>
      <c r="D1571" s="54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</row>
    <row r="1572">
      <c r="A1572" s="53"/>
      <c r="B1572" s="2"/>
      <c r="C1572" s="2"/>
      <c r="D1572" s="54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</row>
    <row r="1573">
      <c r="A1573" s="53"/>
      <c r="B1573" s="2"/>
      <c r="C1573" s="2"/>
      <c r="D1573" s="54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</row>
    <row r="1574">
      <c r="A1574" s="53"/>
      <c r="B1574" s="2"/>
      <c r="C1574" s="2"/>
      <c r="D1574" s="54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</row>
    <row r="1575">
      <c r="A1575" s="53"/>
      <c r="B1575" s="2"/>
      <c r="C1575" s="2"/>
      <c r="D1575" s="54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</row>
    <row r="1576">
      <c r="A1576" s="53"/>
      <c r="B1576" s="2"/>
      <c r="C1576" s="2"/>
      <c r="D1576" s="54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</row>
    <row r="1577">
      <c r="A1577" s="53"/>
      <c r="B1577" s="2"/>
      <c r="C1577" s="2"/>
      <c r="D1577" s="54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</row>
    <row r="1578">
      <c r="A1578" s="53"/>
      <c r="B1578" s="2"/>
      <c r="C1578" s="2"/>
      <c r="D1578" s="54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</row>
    <row r="1579">
      <c r="A1579" s="53"/>
      <c r="B1579" s="2"/>
      <c r="C1579" s="2"/>
      <c r="D1579" s="54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</row>
    <row r="1580">
      <c r="A1580" s="53"/>
      <c r="B1580" s="2"/>
      <c r="C1580" s="2"/>
      <c r="D1580" s="54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</row>
    <row r="1581">
      <c r="A1581" s="53"/>
      <c r="B1581" s="2"/>
      <c r="C1581" s="2"/>
      <c r="D1581" s="54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</row>
    <row r="1582">
      <c r="A1582" s="53"/>
      <c r="B1582" s="2"/>
      <c r="C1582" s="2"/>
      <c r="D1582" s="54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</row>
    <row r="1583">
      <c r="A1583" s="53"/>
      <c r="B1583" s="2"/>
      <c r="C1583" s="2"/>
      <c r="D1583" s="54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</row>
    <row r="1584">
      <c r="A1584" s="53"/>
      <c r="B1584" s="2"/>
      <c r="C1584" s="2"/>
      <c r="D1584" s="54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</row>
    <row r="1585">
      <c r="A1585" s="53"/>
      <c r="B1585" s="2"/>
      <c r="C1585" s="2"/>
      <c r="D1585" s="54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</row>
    <row r="1586">
      <c r="A1586" s="53"/>
      <c r="B1586" s="2"/>
      <c r="C1586" s="2"/>
      <c r="D1586" s="54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</row>
    <row r="1587">
      <c r="A1587" s="53"/>
      <c r="B1587" s="2"/>
      <c r="C1587" s="2"/>
      <c r="D1587" s="54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</row>
    <row r="1588">
      <c r="A1588" s="53"/>
      <c r="B1588" s="2"/>
      <c r="C1588" s="2"/>
      <c r="D1588" s="54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</row>
    <row r="1589">
      <c r="A1589" s="53"/>
      <c r="B1589" s="2"/>
      <c r="C1589" s="2"/>
      <c r="D1589" s="54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</row>
    <row r="1590">
      <c r="A1590" s="53"/>
      <c r="B1590" s="2"/>
      <c r="C1590" s="2"/>
      <c r="D1590" s="54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</row>
    <row r="1591">
      <c r="A1591" s="53"/>
      <c r="B1591" s="2"/>
      <c r="C1591" s="2"/>
      <c r="D1591" s="54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</row>
    <row r="1592">
      <c r="A1592" s="53"/>
      <c r="B1592" s="2"/>
      <c r="C1592" s="2"/>
      <c r="D1592" s="54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</row>
    <row r="1593">
      <c r="A1593" s="53"/>
      <c r="B1593" s="2"/>
      <c r="C1593" s="2"/>
      <c r="D1593" s="54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</row>
    <row r="1594">
      <c r="A1594" s="53"/>
      <c r="B1594" s="2"/>
      <c r="C1594" s="2"/>
      <c r="D1594" s="54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</row>
    <row r="1595">
      <c r="A1595" s="53"/>
      <c r="B1595" s="2"/>
      <c r="C1595" s="2"/>
      <c r="D1595" s="54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</row>
    <row r="1596">
      <c r="A1596" s="53"/>
      <c r="B1596" s="2"/>
      <c r="C1596" s="2"/>
      <c r="D1596" s="54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</row>
    <row r="1597">
      <c r="A1597" s="53"/>
      <c r="B1597" s="2"/>
      <c r="C1597" s="2"/>
      <c r="D1597" s="54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</row>
    <row r="1598">
      <c r="A1598" s="53"/>
      <c r="B1598" s="2"/>
      <c r="C1598" s="2"/>
      <c r="D1598" s="54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</row>
    <row r="1599">
      <c r="A1599" s="53"/>
      <c r="B1599" s="2"/>
      <c r="C1599" s="2"/>
      <c r="D1599" s="54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</row>
    <row r="1600">
      <c r="A1600" s="53"/>
      <c r="B1600" s="2"/>
      <c r="C1600" s="2"/>
      <c r="D1600" s="54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</row>
    <row r="1601">
      <c r="A1601" s="53"/>
      <c r="B1601" s="2"/>
      <c r="C1601" s="2"/>
      <c r="D1601" s="54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</row>
    <row r="1602">
      <c r="A1602" s="53"/>
      <c r="B1602" s="2"/>
      <c r="C1602" s="2"/>
      <c r="D1602" s="54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</row>
    <row r="1603">
      <c r="A1603" s="53"/>
      <c r="B1603" s="2"/>
      <c r="C1603" s="2"/>
      <c r="D1603" s="54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</row>
    <row r="1604">
      <c r="A1604" s="53"/>
      <c r="B1604" s="2"/>
      <c r="C1604" s="2"/>
      <c r="D1604" s="54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</row>
    <row r="1605">
      <c r="A1605" s="53"/>
      <c r="B1605" s="2"/>
      <c r="C1605" s="2"/>
      <c r="D1605" s="54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</row>
    <row r="1606">
      <c r="A1606" s="53"/>
      <c r="B1606" s="2"/>
      <c r="C1606" s="2"/>
      <c r="D1606" s="54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</row>
    <row r="1607">
      <c r="A1607" s="53"/>
      <c r="B1607" s="2"/>
      <c r="C1607" s="2"/>
      <c r="D1607" s="54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</row>
    <row r="1608">
      <c r="A1608" s="53"/>
      <c r="B1608" s="2"/>
      <c r="C1608" s="2"/>
      <c r="D1608" s="54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</row>
    <row r="1609">
      <c r="A1609" s="53"/>
      <c r="B1609" s="2"/>
      <c r="C1609" s="2"/>
      <c r="D1609" s="54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</row>
    <row r="1610">
      <c r="A1610" s="53"/>
      <c r="B1610" s="2"/>
      <c r="C1610" s="2"/>
      <c r="D1610" s="54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</row>
    <row r="1611">
      <c r="A1611" s="53"/>
      <c r="B1611" s="2"/>
      <c r="C1611" s="2"/>
      <c r="D1611" s="54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</row>
    <row r="1612">
      <c r="A1612" s="53"/>
      <c r="B1612" s="2"/>
      <c r="C1612" s="2"/>
      <c r="D1612" s="54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</row>
    <row r="1613">
      <c r="A1613" s="53"/>
      <c r="B1613" s="2"/>
      <c r="C1613" s="2"/>
      <c r="D1613" s="54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</row>
    <row r="1614">
      <c r="A1614" s="53"/>
      <c r="B1614" s="2"/>
      <c r="C1614" s="2"/>
      <c r="D1614" s="54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</row>
    <row r="1615">
      <c r="A1615" s="53"/>
      <c r="B1615" s="2"/>
      <c r="C1615" s="2"/>
      <c r="D1615" s="54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</row>
    <row r="1616">
      <c r="A1616" s="53"/>
      <c r="B1616" s="2"/>
      <c r="C1616" s="2"/>
      <c r="D1616" s="54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</row>
    <row r="1617">
      <c r="A1617" s="53"/>
      <c r="B1617" s="2"/>
      <c r="C1617" s="2"/>
      <c r="D1617" s="54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</row>
    <row r="1618">
      <c r="A1618" s="53"/>
      <c r="B1618" s="2"/>
      <c r="C1618" s="2"/>
      <c r="D1618" s="54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</row>
    <row r="1619">
      <c r="A1619" s="53"/>
      <c r="B1619" s="2"/>
      <c r="C1619" s="2"/>
      <c r="D1619" s="54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</row>
    <row r="1620">
      <c r="A1620" s="53"/>
      <c r="B1620" s="2"/>
      <c r="C1620" s="2"/>
      <c r="D1620" s="54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</row>
    <row r="1621">
      <c r="A1621" s="53"/>
      <c r="B1621" s="2"/>
      <c r="C1621" s="2"/>
      <c r="D1621" s="54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</row>
    <row r="1622">
      <c r="A1622" s="53"/>
      <c r="B1622" s="2"/>
      <c r="C1622" s="2"/>
      <c r="D1622" s="54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</row>
    <row r="1623">
      <c r="A1623" s="53"/>
      <c r="B1623" s="2"/>
      <c r="C1623" s="2"/>
      <c r="D1623" s="54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</row>
    <row r="1624">
      <c r="A1624" s="53"/>
      <c r="B1624" s="2"/>
      <c r="C1624" s="2"/>
      <c r="D1624" s="54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</row>
    <row r="1625">
      <c r="A1625" s="53"/>
      <c r="B1625" s="2"/>
      <c r="C1625" s="2"/>
      <c r="D1625" s="54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</row>
    <row r="1626">
      <c r="A1626" s="53"/>
      <c r="B1626" s="2"/>
      <c r="C1626" s="2"/>
      <c r="D1626" s="54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</row>
    <row r="1627">
      <c r="A1627" s="53"/>
      <c r="B1627" s="2"/>
      <c r="C1627" s="2"/>
      <c r="D1627" s="54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</row>
    <row r="1628">
      <c r="A1628" s="53"/>
      <c r="B1628" s="2"/>
      <c r="C1628" s="2"/>
      <c r="D1628" s="54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</row>
    <row r="1629">
      <c r="A1629" s="53"/>
      <c r="B1629" s="2"/>
      <c r="C1629" s="2"/>
      <c r="D1629" s="54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</row>
    <row r="1630">
      <c r="A1630" s="53"/>
      <c r="B1630" s="2"/>
      <c r="C1630" s="2"/>
      <c r="D1630" s="54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</row>
    <row r="1631">
      <c r="A1631" s="53"/>
      <c r="B1631" s="2"/>
      <c r="C1631" s="2"/>
      <c r="D1631" s="54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</row>
    <row r="1632">
      <c r="A1632" s="53"/>
      <c r="B1632" s="2"/>
      <c r="C1632" s="2"/>
      <c r="D1632" s="54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</row>
    <row r="1633">
      <c r="A1633" s="53"/>
      <c r="B1633" s="2"/>
      <c r="C1633" s="2"/>
      <c r="D1633" s="54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</row>
    <row r="1634">
      <c r="A1634" s="53"/>
      <c r="B1634" s="2"/>
      <c r="C1634" s="2"/>
      <c r="D1634" s="54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</row>
    <row r="1635">
      <c r="A1635" s="53"/>
      <c r="B1635" s="2"/>
      <c r="C1635" s="2"/>
      <c r="D1635" s="54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</row>
    <row r="1636">
      <c r="A1636" s="53"/>
      <c r="B1636" s="2"/>
      <c r="C1636" s="2"/>
      <c r="D1636" s="54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</row>
    <row r="1637">
      <c r="A1637" s="53"/>
      <c r="B1637" s="2"/>
      <c r="C1637" s="2"/>
      <c r="D1637" s="54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</row>
    <row r="1638">
      <c r="A1638" s="53"/>
      <c r="B1638" s="2"/>
      <c r="C1638" s="2"/>
      <c r="D1638" s="54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</row>
    <row r="1639">
      <c r="A1639" s="53"/>
      <c r="B1639" s="2"/>
      <c r="C1639" s="2"/>
      <c r="D1639" s="54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</row>
    <row r="1640">
      <c r="A1640" s="53"/>
      <c r="B1640" s="2"/>
      <c r="C1640" s="2"/>
      <c r="D1640" s="54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</row>
    <row r="1641">
      <c r="A1641" s="53"/>
      <c r="B1641" s="2"/>
      <c r="C1641" s="2"/>
      <c r="D1641" s="54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</row>
    <row r="1642">
      <c r="A1642" s="53"/>
      <c r="B1642" s="2"/>
      <c r="C1642" s="2"/>
      <c r="D1642" s="54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</row>
    <row r="1643">
      <c r="A1643" s="53"/>
      <c r="B1643" s="2"/>
      <c r="C1643" s="2"/>
      <c r="D1643" s="54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</row>
    <row r="1644">
      <c r="A1644" s="53"/>
      <c r="B1644" s="2"/>
      <c r="C1644" s="2"/>
      <c r="D1644" s="54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</row>
    <row r="1645">
      <c r="A1645" s="53"/>
      <c r="B1645" s="2"/>
      <c r="C1645" s="2"/>
      <c r="D1645" s="54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</row>
    <row r="1646">
      <c r="A1646" s="53"/>
      <c r="B1646" s="2"/>
      <c r="C1646" s="2"/>
      <c r="D1646" s="54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</row>
    <row r="1647">
      <c r="A1647" s="53"/>
      <c r="B1647" s="2"/>
      <c r="C1647" s="2"/>
      <c r="D1647" s="54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</row>
    <row r="1648">
      <c r="A1648" s="53"/>
      <c r="B1648" s="2"/>
      <c r="C1648" s="2"/>
      <c r="D1648" s="54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</row>
    <row r="1649">
      <c r="A1649" s="53"/>
      <c r="B1649" s="2"/>
      <c r="C1649" s="2"/>
      <c r="D1649" s="54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</row>
    <row r="1650">
      <c r="A1650" s="53"/>
      <c r="B1650" s="2"/>
      <c r="C1650" s="2"/>
      <c r="D1650" s="54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</row>
    <row r="1651">
      <c r="A1651" s="53"/>
      <c r="B1651" s="2"/>
      <c r="C1651" s="2"/>
      <c r="D1651" s="54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</row>
    <row r="1652">
      <c r="A1652" s="53"/>
      <c r="B1652" s="2"/>
      <c r="C1652" s="2"/>
      <c r="D1652" s="54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</row>
    <row r="1653">
      <c r="A1653" s="53"/>
      <c r="B1653" s="2"/>
      <c r="C1653" s="2"/>
      <c r="D1653" s="54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</row>
    <row r="1654">
      <c r="A1654" s="53"/>
      <c r="B1654" s="2"/>
      <c r="C1654" s="2"/>
      <c r="D1654" s="54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</row>
    <row r="1655">
      <c r="A1655" s="53"/>
      <c r="B1655" s="2"/>
      <c r="C1655" s="2"/>
      <c r="D1655" s="54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</row>
    <row r="1656">
      <c r="A1656" s="53"/>
      <c r="B1656" s="2"/>
      <c r="C1656" s="2"/>
      <c r="D1656" s="54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</row>
    <row r="1657">
      <c r="A1657" s="53"/>
      <c r="B1657" s="2"/>
      <c r="C1657" s="2"/>
      <c r="D1657" s="54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</row>
    <row r="1658">
      <c r="A1658" s="53"/>
      <c r="B1658" s="2"/>
      <c r="C1658" s="2"/>
      <c r="D1658" s="54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</row>
    <row r="1659">
      <c r="A1659" s="53"/>
      <c r="B1659" s="2"/>
      <c r="C1659" s="2"/>
      <c r="D1659" s="54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</row>
    <row r="1660">
      <c r="A1660" s="53"/>
      <c r="B1660" s="2"/>
      <c r="C1660" s="2"/>
      <c r="D1660" s="54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</row>
    <row r="1661">
      <c r="A1661" s="53"/>
      <c r="B1661" s="2"/>
      <c r="C1661" s="2"/>
      <c r="D1661" s="54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</row>
    <row r="1662">
      <c r="A1662" s="53"/>
      <c r="B1662" s="2"/>
      <c r="C1662" s="2"/>
      <c r="D1662" s="54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</row>
    <row r="1663">
      <c r="A1663" s="53"/>
      <c r="B1663" s="2"/>
      <c r="C1663" s="2"/>
      <c r="D1663" s="54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</row>
    <row r="1664">
      <c r="A1664" s="53"/>
      <c r="B1664" s="2"/>
      <c r="C1664" s="2"/>
      <c r="D1664" s="54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</row>
    <row r="1665">
      <c r="A1665" s="53"/>
      <c r="B1665" s="2"/>
      <c r="C1665" s="2"/>
      <c r="D1665" s="54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</row>
    <row r="1666">
      <c r="A1666" s="53"/>
      <c r="B1666" s="2"/>
      <c r="C1666" s="2"/>
      <c r="D1666" s="54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</row>
    <row r="1667">
      <c r="A1667" s="53"/>
      <c r="B1667" s="2"/>
      <c r="C1667" s="2"/>
      <c r="D1667" s="54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</row>
    <row r="1668">
      <c r="A1668" s="53"/>
      <c r="B1668" s="2"/>
      <c r="C1668" s="2"/>
      <c r="D1668" s="54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</row>
    <row r="1669">
      <c r="A1669" s="53"/>
      <c r="B1669" s="2"/>
      <c r="C1669" s="2"/>
      <c r="D1669" s="54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</row>
    <row r="1670">
      <c r="A1670" s="53"/>
      <c r="B1670" s="2"/>
      <c r="C1670" s="2"/>
      <c r="D1670" s="54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</row>
    <row r="1671">
      <c r="A1671" s="53"/>
      <c r="B1671" s="2"/>
      <c r="C1671" s="2"/>
      <c r="D1671" s="54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</row>
    <row r="1672">
      <c r="A1672" s="53"/>
      <c r="B1672" s="2"/>
      <c r="C1672" s="2"/>
      <c r="D1672" s="54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</row>
    <row r="1673">
      <c r="A1673" s="53"/>
      <c r="B1673" s="2"/>
      <c r="C1673" s="2"/>
      <c r="D1673" s="54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</row>
    <row r="1674">
      <c r="A1674" s="53"/>
      <c r="B1674" s="2"/>
      <c r="C1674" s="2"/>
      <c r="D1674" s="54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</row>
    <row r="1675">
      <c r="A1675" s="53"/>
      <c r="B1675" s="2"/>
      <c r="C1675" s="2"/>
      <c r="D1675" s="54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</row>
    <row r="1676">
      <c r="A1676" s="53"/>
      <c r="B1676" s="2"/>
      <c r="C1676" s="2"/>
      <c r="D1676" s="54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</row>
    <row r="1677">
      <c r="A1677" s="53"/>
      <c r="B1677" s="2"/>
      <c r="C1677" s="2"/>
      <c r="D1677" s="54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</row>
    <row r="1678">
      <c r="A1678" s="53"/>
      <c r="B1678" s="2"/>
      <c r="C1678" s="2"/>
      <c r="D1678" s="54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</row>
    <row r="1679">
      <c r="A1679" s="53"/>
      <c r="B1679" s="2"/>
      <c r="C1679" s="2"/>
      <c r="D1679" s="54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</row>
    <row r="1680">
      <c r="A1680" s="53"/>
      <c r="B1680" s="2"/>
      <c r="C1680" s="2"/>
      <c r="D1680" s="54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</row>
    <row r="1681">
      <c r="A1681" s="53"/>
      <c r="B1681" s="2"/>
      <c r="C1681" s="2"/>
      <c r="D1681" s="54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</row>
    <row r="1682">
      <c r="A1682" s="53"/>
      <c r="B1682" s="2"/>
      <c r="C1682" s="2"/>
      <c r="D1682" s="54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</row>
    <row r="1683">
      <c r="A1683" s="53"/>
      <c r="B1683" s="2"/>
      <c r="C1683" s="2"/>
      <c r="D1683" s="54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</row>
    <row r="1684">
      <c r="A1684" s="53"/>
      <c r="B1684" s="2"/>
      <c r="C1684" s="2"/>
      <c r="D1684" s="54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</row>
    <row r="1685">
      <c r="A1685" s="53"/>
      <c r="B1685" s="2"/>
      <c r="C1685" s="2"/>
      <c r="D1685" s="54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</row>
    <row r="1686">
      <c r="A1686" s="53"/>
      <c r="B1686" s="2"/>
      <c r="C1686" s="2"/>
      <c r="D1686" s="54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</row>
    <row r="1687">
      <c r="A1687" s="53"/>
      <c r="B1687" s="2"/>
      <c r="C1687" s="2"/>
      <c r="D1687" s="54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</row>
    <row r="1688">
      <c r="A1688" s="53"/>
      <c r="B1688" s="2"/>
      <c r="C1688" s="2"/>
      <c r="D1688" s="54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</row>
    <row r="1689">
      <c r="A1689" s="53"/>
      <c r="B1689" s="2"/>
      <c r="C1689" s="2"/>
      <c r="D1689" s="54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</row>
    <row r="1690">
      <c r="A1690" s="53"/>
      <c r="B1690" s="2"/>
      <c r="C1690" s="2"/>
      <c r="D1690" s="54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</row>
    <row r="1691">
      <c r="A1691" s="53"/>
      <c r="B1691" s="2"/>
      <c r="C1691" s="2"/>
      <c r="D1691" s="54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</row>
    <row r="1692">
      <c r="A1692" s="53"/>
      <c r="B1692" s="2"/>
      <c r="C1692" s="2"/>
      <c r="D1692" s="54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</row>
    <row r="1693">
      <c r="A1693" s="53"/>
      <c r="B1693" s="2"/>
      <c r="C1693" s="2"/>
      <c r="D1693" s="54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</row>
    <row r="1694">
      <c r="A1694" s="53"/>
      <c r="B1694" s="2"/>
      <c r="C1694" s="2"/>
      <c r="D1694" s="54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</row>
    <row r="1695">
      <c r="A1695" s="53"/>
      <c r="B1695" s="2"/>
      <c r="C1695" s="2"/>
      <c r="D1695" s="54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</row>
    <row r="1696">
      <c r="A1696" s="53"/>
      <c r="B1696" s="2"/>
      <c r="C1696" s="2"/>
      <c r="D1696" s="54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</row>
    <row r="1697">
      <c r="A1697" s="53"/>
      <c r="B1697" s="2"/>
      <c r="C1697" s="2"/>
      <c r="D1697" s="54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</row>
    <row r="1698">
      <c r="A1698" s="53"/>
      <c r="B1698" s="2"/>
      <c r="C1698" s="2"/>
      <c r="D1698" s="54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</row>
    <row r="1699">
      <c r="A1699" s="53"/>
      <c r="B1699" s="2"/>
      <c r="C1699" s="2"/>
      <c r="D1699" s="54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</row>
    <row r="1700">
      <c r="A1700" s="53"/>
      <c r="B1700" s="2"/>
      <c r="C1700" s="2"/>
      <c r="D1700" s="54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</row>
    <row r="1701">
      <c r="A1701" s="53"/>
      <c r="B1701" s="2"/>
      <c r="C1701" s="2"/>
      <c r="D1701" s="54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</row>
    <row r="1702">
      <c r="A1702" s="53"/>
      <c r="B1702" s="2"/>
      <c r="C1702" s="2"/>
      <c r="D1702" s="54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</row>
    <row r="1703">
      <c r="A1703" s="53"/>
      <c r="B1703" s="2"/>
      <c r="C1703" s="2"/>
      <c r="D1703" s="54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</row>
    <row r="1704">
      <c r="A1704" s="53"/>
      <c r="B1704" s="2"/>
      <c r="C1704" s="2"/>
      <c r="D1704" s="54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</row>
    <row r="1705">
      <c r="A1705" s="53"/>
      <c r="B1705" s="2"/>
      <c r="C1705" s="2"/>
      <c r="D1705" s="54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</row>
    <row r="1706">
      <c r="A1706" s="53"/>
      <c r="B1706" s="2"/>
      <c r="C1706" s="2"/>
      <c r="D1706" s="54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</row>
    <row r="1707">
      <c r="A1707" s="53"/>
      <c r="B1707" s="2"/>
      <c r="C1707" s="2"/>
      <c r="D1707" s="54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</row>
    <row r="1708">
      <c r="A1708" s="53"/>
      <c r="B1708" s="2"/>
      <c r="C1708" s="2"/>
      <c r="D1708" s="54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</row>
    <row r="1709">
      <c r="A1709" s="53"/>
      <c r="B1709" s="2"/>
      <c r="C1709" s="2"/>
      <c r="D1709" s="54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</row>
    <row r="1710">
      <c r="A1710" s="53"/>
      <c r="B1710" s="2"/>
      <c r="C1710" s="2"/>
      <c r="D1710" s="54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</row>
    <row r="1711">
      <c r="A1711" s="53"/>
      <c r="B1711" s="2"/>
      <c r="C1711" s="2"/>
      <c r="D1711" s="54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</row>
    <row r="1712">
      <c r="A1712" s="53"/>
      <c r="B1712" s="2"/>
      <c r="C1712" s="2"/>
      <c r="D1712" s="54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</row>
    <row r="1713">
      <c r="A1713" s="53"/>
      <c r="B1713" s="2"/>
      <c r="C1713" s="2"/>
      <c r="D1713" s="54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</row>
    <row r="1714">
      <c r="A1714" s="53"/>
      <c r="B1714" s="2"/>
      <c r="C1714" s="2"/>
      <c r="D1714" s="54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</row>
    <row r="1715">
      <c r="A1715" s="53"/>
      <c r="B1715" s="2"/>
      <c r="C1715" s="2"/>
      <c r="D1715" s="54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</row>
    <row r="1716">
      <c r="A1716" s="53"/>
      <c r="B1716" s="2"/>
      <c r="C1716" s="2"/>
      <c r="D1716" s="54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</row>
    <row r="1717">
      <c r="A1717" s="53"/>
      <c r="B1717" s="2"/>
      <c r="C1717" s="2"/>
      <c r="D1717" s="54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</row>
    <row r="1718">
      <c r="A1718" s="53"/>
      <c r="B1718" s="2"/>
      <c r="C1718" s="2"/>
      <c r="D1718" s="54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</row>
    <row r="1719">
      <c r="A1719" s="53"/>
      <c r="B1719" s="2"/>
      <c r="C1719" s="2"/>
      <c r="D1719" s="54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</row>
    <row r="1720">
      <c r="A1720" s="53"/>
      <c r="B1720" s="2"/>
      <c r="C1720" s="2"/>
      <c r="D1720" s="54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</row>
    <row r="1721">
      <c r="A1721" s="53"/>
      <c r="B1721" s="2"/>
      <c r="C1721" s="2"/>
      <c r="D1721" s="54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</row>
    <row r="1722">
      <c r="A1722" s="53"/>
      <c r="B1722" s="2"/>
      <c r="C1722" s="2"/>
      <c r="D1722" s="54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</row>
    <row r="1723">
      <c r="A1723" s="53"/>
      <c r="B1723" s="2"/>
      <c r="C1723" s="2"/>
      <c r="D1723" s="54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</row>
    <row r="1724">
      <c r="A1724" s="53"/>
      <c r="B1724" s="2"/>
      <c r="C1724" s="2"/>
      <c r="D1724" s="54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</row>
    <row r="1725">
      <c r="A1725" s="53"/>
      <c r="B1725" s="2"/>
      <c r="C1725" s="2"/>
      <c r="D1725" s="54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</row>
    <row r="1726">
      <c r="A1726" s="53"/>
      <c r="B1726" s="2"/>
      <c r="C1726" s="2"/>
      <c r="D1726" s="54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</row>
    <row r="1727">
      <c r="A1727" s="53"/>
      <c r="B1727" s="2"/>
      <c r="C1727" s="2"/>
      <c r="D1727" s="54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</row>
    <row r="1728">
      <c r="A1728" s="53"/>
      <c r="B1728" s="2"/>
      <c r="C1728" s="2"/>
      <c r="D1728" s="54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</row>
    <row r="1729">
      <c r="A1729" s="53"/>
      <c r="B1729" s="2"/>
      <c r="C1729" s="2"/>
      <c r="D1729" s="54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</row>
    <row r="1730">
      <c r="A1730" s="53"/>
      <c r="B1730" s="2"/>
      <c r="C1730" s="2"/>
      <c r="D1730" s="54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</row>
    <row r="1731">
      <c r="A1731" s="53"/>
      <c r="B1731" s="2"/>
      <c r="C1731" s="2"/>
      <c r="D1731" s="54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</row>
    <row r="1732">
      <c r="A1732" s="53"/>
      <c r="B1732" s="2"/>
      <c r="C1732" s="2"/>
      <c r="D1732" s="54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</row>
    <row r="1733">
      <c r="A1733" s="53"/>
      <c r="B1733" s="2"/>
      <c r="C1733" s="2"/>
      <c r="D1733" s="54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</row>
    <row r="1734">
      <c r="A1734" s="53"/>
      <c r="B1734" s="2"/>
      <c r="C1734" s="2"/>
      <c r="D1734" s="54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</row>
    <row r="1735">
      <c r="A1735" s="53"/>
      <c r="B1735" s="2"/>
      <c r="C1735" s="2"/>
      <c r="D1735" s="54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</row>
    <row r="1736">
      <c r="A1736" s="53"/>
      <c r="B1736" s="2"/>
      <c r="C1736" s="2"/>
      <c r="D1736" s="54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</row>
    <row r="1737">
      <c r="A1737" s="53"/>
      <c r="B1737" s="2"/>
      <c r="C1737" s="2"/>
      <c r="D1737" s="54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</row>
    <row r="1738">
      <c r="A1738" s="53"/>
      <c r="B1738" s="2"/>
      <c r="C1738" s="2"/>
      <c r="D1738" s="54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</row>
    <row r="1739">
      <c r="A1739" s="53"/>
      <c r="B1739" s="2"/>
      <c r="C1739" s="2"/>
      <c r="D1739" s="54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</row>
    <row r="1740">
      <c r="A1740" s="53"/>
      <c r="B1740" s="2"/>
      <c r="C1740" s="2"/>
      <c r="D1740" s="54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</row>
    <row r="1741">
      <c r="A1741" s="53"/>
      <c r="B1741" s="2"/>
      <c r="C1741" s="2"/>
      <c r="D1741" s="54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</row>
    <row r="1742">
      <c r="A1742" s="53"/>
      <c r="B1742" s="2"/>
      <c r="C1742" s="2"/>
      <c r="D1742" s="54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</row>
    <row r="1743">
      <c r="A1743" s="53"/>
      <c r="B1743" s="2"/>
      <c r="C1743" s="2"/>
      <c r="D1743" s="54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</row>
    <row r="1744">
      <c r="A1744" s="53"/>
      <c r="B1744" s="2"/>
      <c r="C1744" s="2"/>
      <c r="D1744" s="54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</row>
    <row r="1745">
      <c r="A1745" s="53"/>
      <c r="B1745" s="2"/>
      <c r="C1745" s="2"/>
      <c r="D1745" s="54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</row>
    <row r="1746">
      <c r="A1746" s="53"/>
      <c r="B1746" s="2"/>
      <c r="C1746" s="2"/>
      <c r="D1746" s="54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</row>
    <row r="1747">
      <c r="A1747" s="53"/>
      <c r="B1747" s="2"/>
      <c r="C1747" s="2"/>
      <c r="D1747" s="54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</row>
    <row r="1748">
      <c r="A1748" s="53"/>
      <c r="B1748" s="2"/>
      <c r="C1748" s="2"/>
      <c r="D1748" s="54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</row>
    <row r="1749">
      <c r="A1749" s="53"/>
      <c r="B1749" s="2"/>
      <c r="C1749" s="2"/>
      <c r="D1749" s="54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</row>
    <row r="1750">
      <c r="A1750" s="53"/>
      <c r="B1750" s="2"/>
      <c r="C1750" s="2"/>
      <c r="D1750" s="54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</row>
    <row r="1751">
      <c r="A1751" s="53"/>
      <c r="B1751" s="2"/>
      <c r="C1751" s="2"/>
      <c r="D1751" s="54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</row>
    <row r="1752">
      <c r="A1752" s="53"/>
      <c r="B1752" s="2"/>
      <c r="C1752" s="2"/>
      <c r="D1752" s="54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</row>
    <row r="1753">
      <c r="A1753" s="53"/>
      <c r="B1753" s="2"/>
      <c r="C1753" s="2"/>
      <c r="D1753" s="54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</row>
    <row r="1754">
      <c r="A1754" s="53"/>
      <c r="B1754" s="2"/>
      <c r="C1754" s="2"/>
      <c r="D1754" s="54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</row>
    <row r="1755">
      <c r="A1755" s="53"/>
      <c r="B1755" s="2"/>
      <c r="C1755" s="2"/>
      <c r="D1755" s="54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</row>
    <row r="1756">
      <c r="A1756" s="53"/>
      <c r="B1756" s="2"/>
      <c r="C1756" s="2"/>
      <c r="D1756" s="54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</row>
    <row r="1757">
      <c r="A1757" s="53"/>
      <c r="B1757" s="2"/>
      <c r="C1757" s="2"/>
      <c r="D1757" s="54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</row>
    <row r="1758">
      <c r="A1758" s="53"/>
      <c r="B1758" s="2"/>
      <c r="C1758" s="2"/>
      <c r="D1758" s="54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</row>
    <row r="1759">
      <c r="A1759" s="53"/>
      <c r="B1759" s="2"/>
      <c r="C1759" s="2"/>
      <c r="D1759" s="54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</row>
    <row r="1760">
      <c r="A1760" s="53"/>
      <c r="B1760" s="2"/>
      <c r="C1760" s="2"/>
      <c r="D1760" s="54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</row>
    <row r="1761">
      <c r="A1761" s="53"/>
      <c r="B1761" s="2"/>
      <c r="C1761" s="2"/>
      <c r="D1761" s="54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</row>
    <row r="1762">
      <c r="A1762" s="53"/>
      <c r="B1762" s="2"/>
      <c r="C1762" s="2"/>
      <c r="D1762" s="54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</row>
    <row r="1763">
      <c r="A1763" s="53"/>
      <c r="B1763" s="2"/>
      <c r="C1763" s="2"/>
      <c r="D1763" s="54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</row>
    <row r="1764">
      <c r="A1764" s="53"/>
      <c r="B1764" s="2"/>
      <c r="C1764" s="2"/>
      <c r="D1764" s="54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</row>
    <row r="1765">
      <c r="A1765" s="53"/>
      <c r="B1765" s="2"/>
      <c r="C1765" s="2"/>
      <c r="D1765" s="54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</row>
    <row r="1766">
      <c r="A1766" s="53"/>
      <c r="B1766" s="2"/>
      <c r="C1766" s="2"/>
      <c r="D1766" s="54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</row>
    <row r="1767">
      <c r="A1767" s="53"/>
      <c r="B1767" s="2"/>
      <c r="C1767" s="2"/>
      <c r="D1767" s="54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</row>
    <row r="1768">
      <c r="A1768" s="53"/>
      <c r="B1768" s="2"/>
      <c r="C1768" s="2"/>
      <c r="D1768" s="54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</row>
    <row r="1769">
      <c r="A1769" s="53"/>
      <c r="B1769" s="2"/>
      <c r="C1769" s="2"/>
      <c r="D1769" s="54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</row>
    <row r="1770">
      <c r="A1770" s="53"/>
      <c r="B1770" s="2"/>
      <c r="C1770" s="2"/>
      <c r="D1770" s="54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</row>
    <row r="1771">
      <c r="A1771" s="53"/>
      <c r="B1771" s="2"/>
      <c r="C1771" s="2"/>
      <c r="D1771" s="54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</row>
    <row r="1772">
      <c r="A1772" s="53"/>
      <c r="B1772" s="2"/>
      <c r="C1772" s="2"/>
      <c r="D1772" s="54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</row>
    <row r="1773">
      <c r="A1773" s="53"/>
      <c r="B1773" s="2"/>
      <c r="C1773" s="2"/>
      <c r="D1773" s="54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</row>
    <row r="1774">
      <c r="A1774" s="53"/>
      <c r="B1774" s="2"/>
      <c r="C1774" s="2"/>
      <c r="D1774" s="54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</row>
    <row r="1775">
      <c r="A1775" s="53"/>
      <c r="B1775" s="2"/>
      <c r="C1775" s="2"/>
      <c r="D1775" s="54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</row>
    <row r="1776">
      <c r="A1776" s="53"/>
      <c r="B1776" s="2"/>
      <c r="C1776" s="2"/>
      <c r="D1776" s="54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</row>
    <row r="1777">
      <c r="A1777" s="53"/>
      <c r="B1777" s="2"/>
      <c r="C1777" s="2"/>
      <c r="D1777" s="54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</row>
    <row r="1778">
      <c r="A1778" s="53"/>
      <c r="B1778" s="2"/>
      <c r="C1778" s="2"/>
      <c r="D1778" s="54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</row>
    <row r="1779">
      <c r="A1779" s="53"/>
      <c r="B1779" s="2"/>
      <c r="C1779" s="2"/>
      <c r="D1779" s="54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</row>
    <row r="1780">
      <c r="A1780" s="53"/>
      <c r="B1780" s="2"/>
      <c r="C1780" s="2"/>
      <c r="D1780" s="54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</row>
    <row r="1781">
      <c r="A1781" s="53"/>
      <c r="B1781" s="2"/>
      <c r="C1781" s="2"/>
      <c r="D1781" s="54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</row>
    <row r="1782">
      <c r="A1782" s="53"/>
      <c r="B1782" s="2"/>
      <c r="C1782" s="2"/>
      <c r="D1782" s="54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</row>
    <row r="1783">
      <c r="A1783" s="53"/>
      <c r="B1783" s="2"/>
      <c r="C1783" s="2"/>
      <c r="D1783" s="54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</row>
    <row r="1784">
      <c r="A1784" s="53"/>
      <c r="B1784" s="2"/>
      <c r="C1784" s="2"/>
      <c r="D1784" s="54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</row>
    <row r="1785">
      <c r="A1785" s="53"/>
      <c r="B1785" s="2"/>
      <c r="C1785" s="2"/>
      <c r="D1785" s="54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</row>
    <row r="1786">
      <c r="A1786" s="53"/>
      <c r="B1786" s="2"/>
      <c r="C1786" s="2"/>
      <c r="D1786" s="54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</row>
    <row r="1787">
      <c r="A1787" s="53"/>
      <c r="B1787" s="2"/>
      <c r="C1787" s="2"/>
      <c r="D1787" s="54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</row>
    <row r="1788">
      <c r="A1788" s="53"/>
      <c r="B1788" s="2"/>
      <c r="C1788" s="2"/>
      <c r="D1788" s="54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</row>
    <row r="1789">
      <c r="A1789" s="53"/>
      <c r="B1789" s="2"/>
      <c r="C1789" s="2"/>
      <c r="D1789" s="54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</row>
    <row r="1790">
      <c r="A1790" s="53"/>
      <c r="B1790" s="2"/>
      <c r="C1790" s="2"/>
      <c r="D1790" s="54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</row>
    <row r="1791">
      <c r="A1791" s="53"/>
      <c r="B1791" s="2"/>
      <c r="C1791" s="2"/>
      <c r="D1791" s="54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</row>
    <row r="1792">
      <c r="A1792" s="53"/>
      <c r="B1792" s="2"/>
      <c r="C1792" s="2"/>
      <c r="D1792" s="54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</row>
    <row r="1793">
      <c r="A1793" s="53"/>
      <c r="B1793" s="2"/>
      <c r="C1793" s="2"/>
      <c r="D1793" s="54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</row>
    <row r="1794">
      <c r="A1794" s="53"/>
      <c r="B1794" s="2"/>
      <c r="C1794" s="2"/>
      <c r="D1794" s="54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</row>
    <row r="1795">
      <c r="A1795" s="53"/>
      <c r="B1795" s="2"/>
      <c r="C1795" s="2"/>
      <c r="D1795" s="54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</row>
    <row r="1796">
      <c r="A1796" s="53"/>
      <c r="B1796" s="2"/>
      <c r="C1796" s="2"/>
      <c r="D1796" s="54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</row>
    <row r="1797">
      <c r="A1797" s="53"/>
      <c r="B1797" s="2"/>
      <c r="C1797" s="2"/>
      <c r="D1797" s="54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</row>
    <row r="1798">
      <c r="A1798" s="53"/>
      <c r="B1798" s="2"/>
      <c r="C1798" s="2"/>
      <c r="D1798" s="54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</row>
    <row r="1799">
      <c r="A1799" s="53"/>
      <c r="B1799" s="2"/>
      <c r="C1799" s="2"/>
      <c r="D1799" s="54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</row>
    <row r="1800">
      <c r="A1800" s="53"/>
      <c r="B1800" s="2"/>
      <c r="C1800" s="2"/>
      <c r="D1800" s="54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</row>
    <row r="1801">
      <c r="A1801" s="53"/>
      <c r="B1801" s="2"/>
      <c r="C1801" s="2"/>
      <c r="D1801" s="54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</row>
    <row r="1802">
      <c r="A1802" s="53"/>
      <c r="B1802" s="2"/>
      <c r="C1802" s="2"/>
      <c r="D1802" s="54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</row>
    <row r="1803">
      <c r="A1803" s="53"/>
      <c r="B1803" s="2"/>
      <c r="C1803" s="2"/>
      <c r="D1803" s="54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</row>
    <row r="1804">
      <c r="A1804" s="53"/>
      <c r="B1804" s="2"/>
      <c r="C1804" s="2"/>
      <c r="D1804" s="54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</row>
    <row r="1805">
      <c r="A1805" s="53"/>
      <c r="B1805" s="2"/>
      <c r="C1805" s="2"/>
      <c r="D1805" s="54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</row>
    <row r="1806">
      <c r="A1806" s="53"/>
      <c r="B1806" s="2"/>
      <c r="C1806" s="2"/>
      <c r="D1806" s="54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</row>
    <row r="1807">
      <c r="A1807" s="53"/>
      <c r="B1807" s="2"/>
      <c r="C1807" s="2"/>
      <c r="D1807" s="54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</row>
    <row r="1808">
      <c r="A1808" s="53"/>
      <c r="B1808" s="2"/>
      <c r="C1808" s="2"/>
      <c r="D1808" s="54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</row>
    <row r="1809">
      <c r="A1809" s="53"/>
      <c r="B1809" s="2"/>
      <c r="C1809" s="2"/>
      <c r="D1809" s="54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</row>
    <row r="1810">
      <c r="A1810" s="53"/>
      <c r="B1810" s="2"/>
      <c r="C1810" s="2"/>
      <c r="D1810" s="54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</row>
    <row r="1811">
      <c r="A1811" s="53"/>
      <c r="B1811" s="2"/>
      <c r="C1811" s="2"/>
      <c r="D1811" s="54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</row>
    <row r="1812">
      <c r="A1812" s="53"/>
      <c r="B1812" s="2"/>
      <c r="C1812" s="2"/>
      <c r="D1812" s="54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</row>
    <row r="1813">
      <c r="A1813" s="53"/>
      <c r="B1813" s="2"/>
      <c r="C1813" s="2"/>
      <c r="D1813" s="54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</row>
    <row r="1814">
      <c r="A1814" s="53"/>
      <c r="B1814" s="2"/>
      <c r="C1814" s="2"/>
      <c r="D1814" s="54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</row>
    <row r="1815">
      <c r="A1815" s="53"/>
      <c r="B1815" s="2"/>
      <c r="C1815" s="2"/>
      <c r="D1815" s="54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</row>
    <row r="1816">
      <c r="A1816" s="53"/>
      <c r="B1816" s="2"/>
      <c r="C1816" s="2"/>
      <c r="D1816" s="54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</row>
    <row r="1817">
      <c r="A1817" s="53"/>
      <c r="B1817" s="2"/>
      <c r="C1817" s="2"/>
      <c r="D1817" s="54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</row>
    <row r="1818">
      <c r="A1818" s="53"/>
      <c r="B1818" s="2"/>
      <c r="C1818" s="2"/>
      <c r="D1818" s="54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</row>
    <row r="1819">
      <c r="A1819" s="53"/>
      <c r="B1819" s="2"/>
      <c r="C1819" s="2"/>
      <c r="D1819" s="54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</row>
    <row r="1820">
      <c r="A1820" s="53"/>
      <c r="B1820" s="2"/>
      <c r="C1820" s="2"/>
      <c r="D1820" s="54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</row>
    <row r="1821">
      <c r="A1821" s="53"/>
      <c r="B1821" s="2"/>
      <c r="C1821" s="2"/>
      <c r="D1821" s="54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</row>
    <row r="1822">
      <c r="A1822" s="53"/>
      <c r="B1822" s="2"/>
      <c r="C1822" s="2"/>
      <c r="D1822" s="54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</row>
    <row r="1823">
      <c r="A1823" s="53"/>
      <c r="B1823" s="2"/>
      <c r="C1823" s="2"/>
      <c r="D1823" s="54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</row>
    <row r="1824">
      <c r="A1824" s="53"/>
      <c r="B1824" s="2"/>
      <c r="C1824" s="2"/>
      <c r="D1824" s="54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</row>
    <row r="1825">
      <c r="A1825" s="53"/>
      <c r="B1825" s="2"/>
      <c r="C1825" s="2"/>
      <c r="D1825" s="54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</row>
    <row r="1826">
      <c r="A1826" s="53"/>
      <c r="B1826" s="2"/>
      <c r="C1826" s="2"/>
      <c r="D1826" s="54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</row>
    <row r="1827">
      <c r="A1827" s="53"/>
      <c r="B1827" s="2"/>
      <c r="C1827" s="2"/>
      <c r="D1827" s="54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</row>
    <row r="1828">
      <c r="A1828" s="53"/>
      <c r="B1828" s="2"/>
      <c r="C1828" s="2"/>
      <c r="D1828" s="54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</row>
    <row r="1829">
      <c r="A1829" s="53"/>
      <c r="B1829" s="2"/>
      <c r="C1829" s="2"/>
      <c r="D1829" s="54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</row>
    <row r="1830">
      <c r="A1830" s="53"/>
      <c r="B1830" s="2"/>
      <c r="C1830" s="2"/>
      <c r="D1830" s="54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</row>
    <row r="1831">
      <c r="A1831" s="53"/>
      <c r="B1831" s="2"/>
      <c r="C1831" s="2"/>
      <c r="D1831" s="54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</row>
    <row r="1832">
      <c r="A1832" s="53"/>
      <c r="B1832" s="2"/>
      <c r="C1832" s="2"/>
      <c r="D1832" s="54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</row>
    <row r="1833">
      <c r="A1833" s="53"/>
      <c r="B1833" s="2"/>
      <c r="C1833" s="2"/>
      <c r="D1833" s="54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</row>
    <row r="1834">
      <c r="A1834" s="53"/>
      <c r="B1834" s="2"/>
      <c r="C1834" s="2"/>
      <c r="D1834" s="54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</row>
    <row r="1835">
      <c r="A1835" s="53"/>
      <c r="B1835" s="2"/>
      <c r="C1835" s="2"/>
      <c r="D1835" s="54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</row>
    <row r="1836">
      <c r="A1836" s="53"/>
      <c r="B1836" s="2"/>
      <c r="C1836" s="2"/>
      <c r="D1836" s="54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</row>
    <row r="1837">
      <c r="A1837" s="53"/>
      <c r="B1837" s="2"/>
      <c r="C1837" s="2"/>
      <c r="D1837" s="54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</row>
    <row r="1838">
      <c r="A1838" s="53"/>
      <c r="B1838" s="2"/>
      <c r="C1838" s="2"/>
      <c r="D1838" s="54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</row>
    <row r="1839">
      <c r="A1839" s="53"/>
      <c r="B1839" s="2"/>
      <c r="C1839" s="2"/>
      <c r="D1839" s="54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</row>
    <row r="1840">
      <c r="A1840" s="53"/>
      <c r="B1840" s="2"/>
      <c r="C1840" s="2"/>
      <c r="D1840" s="54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</row>
    <row r="1841">
      <c r="A1841" s="53"/>
      <c r="B1841" s="2"/>
      <c r="C1841" s="2"/>
      <c r="D1841" s="54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</row>
    <row r="1842">
      <c r="A1842" s="53"/>
      <c r="B1842" s="2"/>
      <c r="C1842" s="2"/>
      <c r="D1842" s="54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</row>
    <row r="1843">
      <c r="A1843" s="53"/>
      <c r="B1843" s="2"/>
      <c r="C1843" s="2"/>
      <c r="D1843" s="54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</row>
    <row r="1844">
      <c r="A1844" s="53"/>
      <c r="B1844" s="2"/>
      <c r="C1844" s="2"/>
      <c r="D1844" s="54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</row>
    <row r="1845">
      <c r="A1845" s="53"/>
      <c r="B1845" s="2"/>
      <c r="C1845" s="2"/>
      <c r="D1845" s="54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</row>
    <row r="1846">
      <c r="A1846" s="53"/>
      <c r="B1846" s="2"/>
      <c r="C1846" s="2"/>
      <c r="D1846" s="54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</row>
    <row r="1847">
      <c r="A1847" s="53"/>
      <c r="B1847" s="2"/>
      <c r="C1847" s="2"/>
      <c r="D1847" s="54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</row>
    <row r="1848">
      <c r="A1848" s="53"/>
      <c r="B1848" s="2"/>
      <c r="C1848" s="2"/>
      <c r="D1848" s="54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</row>
    <row r="1849">
      <c r="A1849" s="53"/>
      <c r="B1849" s="2"/>
      <c r="C1849" s="2"/>
      <c r="D1849" s="54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</row>
    <row r="1850">
      <c r="A1850" s="53"/>
      <c r="B1850" s="2"/>
      <c r="C1850" s="2"/>
      <c r="D1850" s="54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</row>
    <row r="1851">
      <c r="A1851" s="53"/>
      <c r="B1851" s="2"/>
      <c r="C1851" s="2"/>
      <c r="D1851" s="54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</row>
    <row r="1852">
      <c r="A1852" s="53"/>
      <c r="B1852" s="2"/>
      <c r="C1852" s="2"/>
      <c r="D1852" s="54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</row>
    <row r="1853">
      <c r="A1853" s="53"/>
      <c r="B1853" s="2"/>
      <c r="C1853" s="2"/>
      <c r="D1853" s="54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</row>
    <row r="1854">
      <c r="A1854" s="53"/>
      <c r="B1854" s="2"/>
      <c r="C1854" s="2"/>
      <c r="D1854" s="54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</row>
    <row r="1855">
      <c r="A1855" s="53"/>
      <c r="B1855" s="2"/>
      <c r="C1855" s="2"/>
      <c r="D1855" s="54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</row>
    <row r="1856">
      <c r="A1856" s="53"/>
      <c r="B1856" s="2"/>
      <c r="C1856" s="2"/>
      <c r="D1856" s="54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</row>
    <row r="1857">
      <c r="A1857" s="53"/>
      <c r="B1857" s="2"/>
      <c r="C1857" s="2"/>
      <c r="D1857" s="54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</row>
    <row r="1858">
      <c r="A1858" s="53"/>
      <c r="B1858" s="2"/>
      <c r="C1858" s="2"/>
      <c r="D1858" s="54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</row>
    <row r="1859">
      <c r="A1859" s="53"/>
      <c r="B1859" s="2"/>
      <c r="C1859" s="2"/>
      <c r="D1859" s="54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</row>
    <row r="1860">
      <c r="A1860" s="53"/>
      <c r="B1860" s="2"/>
      <c r="C1860" s="2"/>
      <c r="D1860" s="54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</row>
    <row r="1861">
      <c r="A1861" s="53"/>
      <c r="B1861" s="2"/>
      <c r="C1861" s="2"/>
      <c r="D1861" s="54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</row>
    <row r="1862">
      <c r="A1862" s="53"/>
      <c r="B1862" s="2"/>
      <c r="C1862" s="2"/>
      <c r="D1862" s="54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</row>
    <row r="1863">
      <c r="A1863" s="53"/>
      <c r="B1863" s="2"/>
      <c r="C1863" s="2"/>
      <c r="D1863" s="54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</row>
    <row r="1864">
      <c r="A1864" s="53"/>
      <c r="B1864" s="2"/>
      <c r="C1864" s="2"/>
      <c r="D1864" s="54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</row>
    <row r="1865">
      <c r="A1865" s="53"/>
      <c r="B1865" s="2"/>
      <c r="C1865" s="2"/>
      <c r="D1865" s="54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</row>
    <row r="1866">
      <c r="A1866" s="53"/>
      <c r="B1866" s="2"/>
      <c r="C1866" s="2"/>
      <c r="D1866" s="54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</row>
    <row r="1867">
      <c r="A1867" s="53"/>
      <c r="B1867" s="2"/>
      <c r="C1867" s="2"/>
      <c r="D1867" s="54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</row>
    <row r="1868">
      <c r="A1868" s="53"/>
      <c r="B1868" s="2"/>
      <c r="C1868" s="2"/>
      <c r="D1868" s="54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</row>
    <row r="1869">
      <c r="A1869" s="53"/>
      <c r="B1869" s="2"/>
      <c r="C1869" s="2"/>
      <c r="D1869" s="54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</row>
    <row r="1870">
      <c r="A1870" s="53"/>
      <c r="B1870" s="2"/>
      <c r="C1870" s="2"/>
      <c r="D1870" s="54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</row>
    <row r="1871">
      <c r="A1871" s="53"/>
      <c r="B1871" s="2"/>
      <c r="C1871" s="2"/>
      <c r="D1871" s="54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</row>
    <row r="1872">
      <c r="A1872" s="53"/>
      <c r="B1872" s="2"/>
      <c r="C1872" s="2"/>
      <c r="D1872" s="54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</row>
    <row r="1873">
      <c r="A1873" s="53"/>
      <c r="B1873" s="2"/>
      <c r="C1873" s="2"/>
      <c r="D1873" s="54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</row>
    <row r="1874">
      <c r="A1874" s="53"/>
      <c r="B1874" s="2"/>
      <c r="C1874" s="2"/>
      <c r="D1874" s="54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</row>
    <row r="1875">
      <c r="A1875" s="53"/>
      <c r="B1875" s="2"/>
      <c r="C1875" s="2"/>
      <c r="D1875" s="54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</row>
    <row r="1876">
      <c r="A1876" s="53"/>
      <c r="B1876" s="2"/>
      <c r="C1876" s="2"/>
      <c r="D1876" s="54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</row>
    <row r="1877">
      <c r="A1877" s="53"/>
      <c r="B1877" s="2"/>
      <c r="C1877" s="2"/>
      <c r="D1877" s="54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</row>
    <row r="1878">
      <c r="A1878" s="53"/>
      <c r="B1878" s="2"/>
      <c r="C1878" s="2"/>
      <c r="D1878" s="54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</row>
    <row r="1879">
      <c r="A1879" s="53"/>
      <c r="B1879" s="2"/>
      <c r="C1879" s="2"/>
      <c r="D1879" s="54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</row>
    <row r="1880">
      <c r="A1880" s="53"/>
      <c r="B1880" s="2"/>
      <c r="C1880" s="2"/>
      <c r="D1880" s="54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</row>
    <row r="1881">
      <c r="A1881" s="53"/>
      <c r="B1881" s="2"/>
      <c r="C1881" s="2"/>
      <c r="D1881" s="54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</row>
    <row r="1882">
      <c r="A1882" s="53"/>
      <c r="B1882" s="2"/>
      <c r="C1882" s="2"/>
      <c r="D1882" s="54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</row>
    <row r="1883">
      <c r="A1883" s="53"/>
      <c r="B1883" s="2"/>
      <c r="C1883" s="2"/>
      <c r="D1883" s="54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</row>
    <row r="1884">
      <c r="A1884" s="53"/>
      <c r="B1884" s="2"/>
      <c r="C1884" s="2"/>
      <c r="D1884" s="54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</row>
    <row r="1885">
      <c r="A1885" s="53"/>
      <c r="B1885" s="2"/>
      <c r="C1885" s="2"/>
      <c r="D1885" s="54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</row>
    <row r="1886">
      <c r="A1886" s="53"/>
      <c r="B1886" s="2"/>
      <c r="C1886" s="2"/>
      <c r="D1886" s="54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</row>
    <row r="1887">
      <c r="A1887" s="53"/>
      <c r="B1887" s="2"/>
      <c r="C1887" s="2"/>
      <c r="D1887" s="54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</row>
    <row r="1888">
      <c r="A1888" s="53"/>
      <c r="B1888" s="2"/>
      <c r="C1888" s="2"/>
      <c r="D1888" s="54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</row>
    <row r="1889">
      <c r="A1889" s="53"/>
      <c r="B1889" s="2"/>
      <c r="C1889" s="2"/>
      <c r="D1889" s="54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</row>
    <row r="1890">
      <c r="A1890" s="53"/>
      <c r="B1890" s="2"/>
      <c r="C1890" s="2"/>
      <c r="D1890" s="54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</row>
    <row r="1891">
      <c r="A1891" s="53"/>
      <c r="B1891" s="2"/>
      <c r="C1891" s="2"/>
      <c r="D1891" s="54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</row>
    <row r="1892">
      <c r="A1892" s="53"/>
      <c r="B1892" s="2"/>
      <c r="C1892" s="2"/>
      <c r="D1892" s="54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</row>
    <row r="1893">
      <c r="A1893" s="53"/>
      <c r="B1893" s="2"/>
      <c r="C1893" s="2"/>
      <c r="D1893" s="54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</row>
    <row r="1894">
      <c r="A1894" s="53"/>
      <c r="B1894" s="2"/>
      <c r="C1894" s="2"/>
      <c r="D1894" s="54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</row>
    <row r="1895">
      <c r="A1895" s="53"/>
      <c r="B1895" s="2"/>
      <c r="C1895" s="2"/>
      <c r="D1895" s="54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</row>
    <row r="1896">
      <c r="A1896" s="53"/>
      <c r="B1896" s="2"/>
      <c r="C1896" s="2"/>
      <c r="D1896" s="54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</row>
    <row r="1897">
      <c r="A1897" s="53"/>
      <c r="B1897" s="2"/>
      <c r="C1897" s="2"/>
      <c r="D1897" s="54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</row>
    <row r="1898">
      <c r="A1898" s="53"/>
      <c r="B1898" s="2"/>
      <c r="C1898" s="2"/>
      <c r="D1898" s="54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</row>
    <row r="1899">
      <c r="A1899" s="53"/>
      <c r="B1899" s="2"/>
      <c r="C1899" s="2"/>
      <c r="D1899" s="54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</row>
    <row r="1900">
      <c r="A1900" s="53"/>
      <c r="B1900" s="2"/>
      <c r="C1900" s="2"/>
      <c r="D1900" s="54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</row>
    <row r="1901">
      <c r="A1901" s="53"/>
      <c r="B1901" s="2"/>
      <c r="C1901" s="2"/>
      <c r="D1901" s="54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</row>
    <row r="1902">
      <c r="A1902" s="53"/>
      <c r="B1902" s="2"/>
      <c r="C1902" s="2"/>
      <c r="D1902" s="54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</row>
    <row r="1903">
      <c r="A1903" s="53"/>
      <c r="B1903" s="2"/>
      <c r="C1903" s="2"/>
      <c r="D1903" s="54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</row>
    <row r="1904">
      <c r="A1904" s="53"/>
      <c r="B1904" s="2"/>
      <c r="C1904" s="2"/>
      <c r="D1904" s="54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</row>
    <row r="1905">
      <c r="A1905" s="53"/>
      <c r="B1905" s="2"/>
      <c r="C1905" s="2"/>
      <c r="D1905" s="54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</row>
    <row r="1906">
      <c r="A1906" s="53"/>
      <c r="B1906" s="2"/>
      <c r="C1906" s="2"/>
      <c r="D1906" s="54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</row>
    <row r="1907">
      <c r="A1907" s="53"/>
      <c r="B1907" s="2"/>
      <c r="C1907" s="2"/>
      <c r="D1907" s="54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</row>
    <row r="1908">
      <c r="A1908" s="53"/>
      <c r="B1908" s="2"/>
      <c r="C1908" s="2"/>
      <c r="D1908" s="54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</row>
    <row r="1909">
      <c r="A1909" s="53"/>
      <c r="B1909" s="2"/>
      <c r="C1909" s="2"/>
      <c r="D1909" s="54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</row>
    <row r="1910">
      <c r="A1910" s="53"/>
      <c r="B1910" s="2"/>
      <c r="C1910" s="2"/>
      <c r="D1910" s="54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</row>
    <row r="1911">
      <c r="A1911" s="53"/>
      <c r="B1911" s="2"/>
      <c r="C1911" s="2"/>
      <c r="D1911" s="54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</row>
    <row r="1912">
      <c r="A1912" s="53"/>
      <c r="B1912" s="2"/>
      <c r="C1912" s="2"/>
      <c r="D1912" s="54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</row>
    <row r="1913">
      <c r="A1913" s="53"/>
      <c r="B1913" s="2"/>
      <c r="C1913" s="2"/>
      <c r="D1913" s="54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</row>
    <row r="1914">
      <c r="A1914" s="53"/>
      <c r="B1914" s="2"/>
      <c r="C1914" s="2"/>
      <c r="D1914" s="54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</row>
    <row r="1915">
      <c r="A1915" s="53"/>
      <c r="B1915" s="2"/>
      <c r="C1915" s="2"/>
      <c r="D1915" s="54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</row>
    <row r="1916">
      <c r="A1916" s="53"/>
      <c r="B1916" s="2"/>
      <c r="C1916" s="2"/>
      <c r="D1916" s="54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</row>
    <row r="1917">
      <c r="A1917" s="53"/>
      <c r="B1917" s="2"/>
      <c r="C1917" s="2"/>
      <c r="D1917" s="54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</row>
    <row r="1918">
      <c r="A1918" s="53"/>
      <c r="B1918" s="2"/>
      <c r="C1918" s="2"/>
      <c r="D1918" s="54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</row>
    <row r="1919">
      <c r="A1919" s="53"/>
      <c r="B1919" s="2"/>
      <c r="C1919" s="2"/>
      <c r="D1919" s="54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</row>
    <row r="1920">
      <c r="A1920" s="53"/>
      <c r="B1920" s="2"/>
      <c r="C1920" s="2"/>
      <c r="D1920" s="54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</row>
    <row r="1921">
      <c r="A1921" s="53"/>
      <c r="B1921" s="2"/>
      <c r="C1921" s="2"/>
      <c r="D1921" s="54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</row>
    <row r="1922">
      <c r="A1922" s="53"/>
      <c r="B1922" s="2"/>
      <c r="C1922" s="2"/>
      <c r="D1922" s="54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</row>
    <row r="1923">
      <c r="A1923" s="53"/>
      <c r="B1923" s="2"/>
      <c r="C1923" s="2"/>
      <c r="D1923" s="54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</row>
    <row r="1924">
      <c r="A1924" s="53"/>
      <c r="B1924" s="2"/>
      <c r="C1924" s="2"/>
      <c r="D1924" s="54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</row>
    <row r="1925">
      <c r="A1925" s="53"/>
      <c r="B1925" s="2"/>
      <c r="C1925" s="2"/>
      <c r="D1925" s="54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</row>
    <row r="1926">
      <c r="A1926" s="53"/>
      <c r="B1926" s="2"/>
      <c r="C1926" s="2"/>
      <c r="D1926" s="54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</row>
    <row r="1927">
      <c r="A1927" s="53"/>
      <c r="B1927" s="2"/>
      <c r="C1927" s="2"/>
      <c r="D1927" s="54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</row>
    <row r="1928">
      <c r="A1928" s="53"/>
      <c r="B1928" s="2"/>
      <c r="C1928" s="2"/>
      <c r="D1928" s="54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</row>
    <row r="1929">
      <c r="A1929" s="53"/>
      <c r="B1929" s="2"/>
      <c r="C1929" s="2"/>
      <c r="D1929" s="54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</row>
    <row r="1930">
      <c r="A1930" s="53"/>
      <c r="B1930" s="2"/>
      <c r="C1930" s="2"/>
      <c r="D1930" s="54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</row>
    <row r="1931">
      <c r="A1931" s="53"/>
      <c r="B1931" s="2"/>
      <c r="C1931" s="2"/>
      <c r="D1931" s="54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</row>
    <row r="1932">
      <c r="A1932" s="53"/>
      <c r="B1932" s="2"/>
      <c r="C1932" s="2"/>
      <c r="D1932" s="54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</row>
    <row r="1933">
      <c r="A1933" s="53"/>
      <c r="B1933" s="2"/>
      <c r="C1933" s="2"/>
      <c r="D1933" s="54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</row>
    <row r="1934">
      <c r="A1934" s="53"/>
      <c r="B1934" s="2"/>
      <c r="C1934" s="2"/>
      <c r="D1934" s="54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</row>
    <row r="1935">
      <c r="A1935" s="53"/>
      <c r="B1935" s="2"/>
      <c r="C1935" s="2"/>
      <c r="D1935" s="54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</row>
    <row r="1936">
      <c r="A1936" s="53"/>
      <c r="B1936" s="2"/>
      <c r="C1936" s="2"/>
      <c r="D1936" s="54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</row>
    <row r="1937">
      <c r="A1937" s="53"/>
      <c r="B1937" s="2"/>
      <c r="C1937" s="2"/>
      <c r="D1937" s="54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</row>
    <row r="1938">
      <c r="A1938" s="53"/>
      <c r="B1938" s="2"/>
      <c r="C1938" s="2"/>
      <c r="D1938" s="54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</row>
    <row r="1939">
      <c r="A1939" s="53"/>
      <c r="B1939" s="2"/>
      <c r="C1939" s="2"/>
      <c r="D1939" s="54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</row>
    <row r="1940">
      <c r="A1940" s="53"/>
      <c r="B1940" s="2"/>
      <c r="C1940" s="2"/>
      <c r="D1940" s="54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</row>
    <row r="1941">
      <c r="A1941" s="53"/>
      <c r="B1941" s="2"/>
      <c r="C1941" s="2"/>
      <c r="D1941" s="54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</row>
    <row r="1942">
      <c r="A1942" s="53"/>
      <c r="B1942" s="2"/>
      <c r="C1942" s="2"/>
      <c r="D1942" s="54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</row>
    <row r="1943">
      <c r="A1943" s="53"/>
      <c r="B1943" s="2"/>
      <c r="C1943" s="2"/>
      <c r="D1943" s="54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</row>
    <row r="1944">
      <c r="A1944" s="53"/>
      <c r="B1944" s="2"/>
      <c r="C1944" s="2"/>
      <c r="D1944" s="54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</row>
    <row r="1945">
      <c r="A1945" s="53"/>
      <c r="B1945" s="2"/>
      <c r="C1945" s="2"/>
      <c r="D1945" s="54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</row>
    <row r="1946">
      <c r="A1946" s="53"/>
      <c r="B1946" s="2"/>
      <c r="C1946" s="2"/>
      <c r="D1946" s="54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</row>
    <row r="1947">
      <c r="A1947" s="53"/>
      <c r="B1947" s="2"/>
      <c r="C1947" s="2"/>
      <c r="D1947" s="54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</row>
    <row r="1948">
      <c r="A1948" s="53"/>
      <c r="B1948" s="2"/>
      <c r="C1948" s="2"/>
      <c r="D1948" s="54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</row>
    <row r="1949">
      <c r="A1949" s="53"/>
      <c r="B1949" s="2"/>
      <c r="C1949" s="2"/>
      <c r="D1949" s="54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</row>
    <row r="1950">
      <c r="A1950" s="53"/>
      <c r="B1950" s="2"/>
      <c r="C1950" s="2"/>
      <c r="D1950" s="54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</row>
    <row r="1951">
      <c r="A1951" s="53"/>
      <c r="B1951" s="2"/>
      <c r="C1951" s="2"/>
      <c r="D1951" s="54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</row>
    <row r="1952">
      <c r="A1952" s="53"/>
      <c r="B1952" s="2"/>
      <c r="C1952" s="2"/>
      <c r="D1952" s="54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</row>
    <row r="1953">
      <c r="A1953" s="53"/>
      <c r="B1953" s="2"/>
      <c r="C1953" s="2"/>
      <c r="D1953" s="54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</row>
    <row r="1954">
      <c r="A1954" s="53"/>
      <c r="B1954" s="2"/>
      <c r="C1954" s="2"/>
      <c r="D1954" s="54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</row>
    <row r="1955">
      <c r="A1955" s="53"/>
      <c r="B1955" s="2"/>
      <c r="C1955" s="2"/>
      <c r="D1955" s="54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</row>
    <row r="1956">
      <c r="A1956" s="53"/>
      <c r="B1956" s="2"/>
      <c r="C1956" s="2"/>
      <c r="D1956" s="54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</row>
    <row r="1957">
      <c r="A1957" s="53"/>
      <c r="B1957" s="2"/>
      <c r="C1957" s="2"/>
      <c r="D1957" s="54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</row>
    <row r="1958">
      <c r="A1958" s="53"/>
      <c r="B1958" s="2"/>
      <c r="C1958" s="2"/>
      <c r="D1958" s="54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</row>
    <row r="1959">
      <c r="A1959" s="53"/>
      <c r="B1959" s="2"/>
      <c r="C1959" s="2"/>
      <c r="D1959" s="54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</row>
    <row r="1960">
      <c r="A1960" s="53"/>
      <c r="B1960" s="2"/>
      <c r="C1960" s="2"/>
      <c r="D1960" s="54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</row>
    <row r="1961">
      <c r="A1961" s="53"/>
      <c r="B1961" s="2"/>
      <c r="C1961" s="2"/>
      <c r="D1961" s="54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</row>
    <row r="1962">
      <c r="A1962" s="53"/>
      <c r="B1962" s="2"/>
      <c r="C1962" s="2"/>
      <c r="D1962" s="54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</row>
    <row r="1963">
      <c r="A1963" s="53"/>
      <c r="B1963" s="2"/>
      <c r="C1963" s="2"/>
      <c r="D1963" s="54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</row>
    <row r="1964">
      <c r="A1964" s="53"/>
      <c r="B1964" s="2"/>
      <c r="C1964" s="2"/>
      <c r="D1964" s="54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</row>
    <row r="1965">
      <c r="A1965" s="53"/>
      <c r="B1965" s="2"/>
      <c r="C1965" s="2"/>
      <c r="D1965" s="54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</row>
    <row r="1966">
      <c r="A1966" s="53"/>
      <c r="B1966" s="2"/>
      <c r="C1966" s="2"/>
      <c r="D1966" s="54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</row>
    <row r="1967">
      <c r="A1967" s="53"/>
      <c r="B1967" s="2"/>
      <c r="C1967" s="2"/>
      <c r="D1967" s="54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</row>
    <row r="1968">
      <c r="A1968" s="53"/>
      <c r="B1968" s="2"/>
      <c r="C1968" s="2"/>
      <c r="D1968" s="54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</row>
    <row r="1969">
      <c r="A1969" s="53"/>
      <c r="B1969" s="2"/>
      <c r="C1969" s="2"/>
      <c r="D1969" s="54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</row>
    <row r="1970">
      <c r="A1970" s="53"/>
      <c r="B1970" s="2"/>
      <c r="C1970" s="2"/>
      <c r="D1970" s="54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</row>
    <row r="1971">
      <c r="A1971" s="53"/>
      <c r="B1971" s="2"/>
      <c r="C1971" s="2"/>
      <c r="D1971" s="54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</row>
    <row r="1972">
      <c r="A1972" s="53"/>
      <c r="B1972" s="2"/>
      <c r="C1972" s="2"/>
      <c r="D1972" s="54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</row>
    <row r="1973">
      <c r="A1973" s="53"/>
      <c r="B1973" s="2"/>
      <c r="C1973" s="2"/>
      <c r="D1973" s="54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</row>
    <row r="1974">
      <c r="A1974" s="53"/>
      <c r="B1974" s="2"/>
      <c r="C1974" s="2"/>
      <c r="D1974" s="54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</row>
    <row r="1975">
      <c r="A1975" s="53"/>
      <c r="B1975" s="2"/>
      <c r="C1975" s="2"/>
      <c r="D1975" s="54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</row>
    <row r="1976">
      <c r="A1976" s="53"/>
      <c r="B1976" s="2"/>
      <c r="C1976" s="2"/>
      <c r="D1976" s="54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</row>
    <row r="1977">
      <c r="A1977" s="53"/>
      <c r="B1977" s="2"/>
      <c r="C1977" s="2"/>
      <c r="D1977" s="54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</row>
    <row r="1978">
      <c r="A1978" s="53"/>
      <c r="B1978" s="2"/>
      <c r="C1978" s="2"/>
      <c r="D1978" s="54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</row>
    <row r="1979">
      <c r="A1979" s="53"/>
      <c r="B1979" s="2"/>
      <c r="C1979" s="2"/>
      <c r="D1979" s="54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</row>
    <row r="1980">
      <c r="A1980" s="53"/>
      <c r="B1980" s="2"/>
      <c r="C1980" s="2"/>
      <c r="D1980" s="54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</row>
    <row r="1981">
      <c r="A1981" s="53"/>
      <c r="B1981" s="2"/>
      <c r="C1981" s="2"/>
      <c r="D1981" s="54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</row>
    <row r="1982">
      <c r="A1982" s="53"/>
      <c r="B1982" s="2"/>
      <c r="C1982" s="2"/>
      <c r="D1982" s="54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</row>
    <row r="1983">
      <c r="A1983" s="53"/>
      <c r="B1983" s="2"/>
      <c r="C1983" s="2"/>
      <c r="D1983" s="54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</row>
    <row r="1984">
      <c r="A1984" s="53"/>
      <c r="B1984" s="2"/>
      <c r="C1984" s="2"/>
      <c r="D1984" s="54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</row>
    <row r="1985">
      <c r="A1985" s="53"/>
      <c r="B1985" s="2"/>
      <c r="C1985" s="2"/>
      <c r="D1985" s="54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</row>
    <row r="1986">
      <c r="A1986" s="53"/>
      <c r="B1986" s="2"/>
      <c r="C1986" s="2"/>
      <c r="D1986" s="54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</row>
    <row r="1987">
      <c r="A1987" s="53"/>
      <c r="B1987" s="2"/>
      <c r="C1987" s="2"/>
      <c r="D1987" s="54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</row>
    <row r="1988">
      <c r="A1988" s="53"/>
      <c r="B1988" s="2"/>
      <c r="C1988" s="2"/>
      <c r="D1988" s="54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</row>
    <row r="1989">
      <c r="A1989" s="53"/>
      <c r="B1989" s="2"/>
      <c r="C1989" s="2"/>
      <c r="D1989" s="54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</row>
    <row r="1990">
      <c r="A1990" s="53"/>
      <c r="B1990" s="2"/>
      <c r="C1990" s="2"/>
      <c r="D1990" s="54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</row>
    <row r="1991">
      <c r="A1991" s="53"/>
      <c r="B1991" s="2"/>
      <c r="C1991" s="2"/>
      <c r="D1991" s="54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</row>
    <row r="1992">
      <c r="A1992" s="53"/>
      <c r="B1992" s="2"/>
      <c r="C1992" s="2"/>
      <c r="D1992" s="54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</row>
    <row r="1993">
      <c r="A1993" s="53"/>
      <c r="B1993" s="2"/>
      <c r="C1993" s="2"/>
      <c r="D1993" s="54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</row>
    <row r="1994">
      <c r="A1994" s="53"/>
      <c r="B1994" s="2"/>
      <c r="C1994" s="2"/>
      <c r="D1994" s="54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</row>
    <row r="1995">
      <c r="A1995" s="53"/>
      <c r="B1995" s="2"/>
      <c r="C1995" s="2"/>
      <c r="D1995" s="54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</row>
    <row r="1996">
      <c r="A1996" s="53"/>
      <c r="B1996" s="2"/>
      <c r="C1996" s="2"/>
      <c r="D1996" s="54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</row>
    <row r="1997">
      <c r="A1997" s="53"/>
      <c r="B1997" s="2"/>
      <c r="C1997" s="2"/>
      <c r="D1997" s="54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</row>
    <row r="1998">
      <c r="A1998" s="53"/>
      <c r="B1998" s="2"/>
      <c r="C1998" s="2"/>
      <c r="D1998" s="54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</row>
    <row r="1999">
      <c r="A1999" s="53"/>
      <c r="B1999" s="2"/>
      <c r="C1999" s="2"/>
      <c r="D1999" s="54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</row>
    <row r="2000">
      <c r="A2000" s="53"/>
      <c r="B2000" s="2"/>
      <c r="C2000" s="2"/>
      <c r="D2000" s="54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</row>
    <row r="2001">
      <c r="A2001" s="53"/>
      <c r="B2001" s="2"/>
      <c r="C2001" s="2"/>
      <c r="D2001" s="54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</row>
  </sheetData>
  <dataValidations>
    <dataValidation type="custom" allowBlank="1" showDropDown="1" showInputMessage="1" prompt="Select a date" sqref="A2:A13 A15:A2001">
      <formula1>OR(NOT(ISERROR(DATEVALUE(A2))), AND(ISNUMBER(A2), LEFT(CELL("format", A2))="D"))</formula1>
    </dataValidation>
    <dataValidation type="list" allowBlank="1" showErrorMessage="1" sqref="C2:C2001">
      <formula1>categories</formula1>
    </dataValidation>
    <dataValidation type="list" allowBlank="1" showErrorMessage="1" sqref="F2:F2001">
      <formula1>"Need,Want,Saving"</formula1>
    </dataValidation>
    <dataValidation type="decimal" operator="greaterThan" allowBlank="1" showDropDown="1" sqref="D2:D2001">
      <formula1>0.0</formula1>
    </dataValidation>
    <dataValidation type="list" allowBlank="1" showErrorMessage="1" sqref="E2:E2001">
      <formula1>paymentModes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9.5"/>
    <col hidden="1" min="4" max="8" width="12.63"/>
  </cols>
  <sheetData>
    <row r="1">
      <c r="A1" s="1" t="s">
        <v>325</v>
      </c>
      <c r="B1" s="55" t="s">
        <v>326</v>
      </c>
      <c r="C1" s="2"/>
      <c r="D1" s="4" t="s">
        <v>327</v>
      </c>
      <c r="E1" s="4" t="s">
        <v>328</v>
      </c>
      <c r="F1" s="4" t="s">
        <v>329</v>
      </c>
      <c r="G1" s="4" t="s">
        <v>330</v>
      </c>
      <c r="H1" s="4" t="s">
        <v>331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326</v>
      </c>
      <c r="B2" s="56" t="s">
        <v>332</v>
      </c>
      <c r="C2" s="2"/>
      <c r="D2" s="57">
        <v>46385.0</v>
      </c>
      <c r="E2" s="57">
        <v>46026.0</v>
      </c>
      <c r="F2" s="58">
        <v>23880.0</v>
      </c>
      <c r="G2" s="58">
        <v>10000.0</v>
      </c>
      <c r="H2" s="59">
        <v>239.0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333</v>
      </c>
      <c r="B3" s="60"/>
      <c r="C3" s="2"/>
      <c r="D3" s="57">
        <v>46027.0</v>
      </c>
      <c r="E3" s="61">
        <v>46033.0</v>
      </c>
      <c r="F3" s="58">
        <v>15957.0</v>
      </c>
      <c r="G3" s="58">
        <v>10000.0</v>
      </c>
      <c r="H3" s="59">
        <v>160.0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334</v>
      </c>
      <c r="B4" s="60"/>
      <c r="C4" s="2"/>
      <c r="D4" s="61">
        <v>46034.0</v>
      </c>
      <c r="E4" s="61">
        <v>46040.0</v>
      </c>
      <c r="F4" s="58">
        <v>12239.0</v>
      </c>
      <c r="G4" s="58">
        <v>10000.0</v>
      </c>
      <c r="H4" s="59">
        <v>122.0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25</v>
      </c>
      <c r="B5" s="55" t="s">
        <v>335</v>
      </c>
      <c r="C5" s="2"/>
      <c r="D5" s="61">
        <v>46041.0</v>
      </c>
      <c r="E5" s="61">
        <v>46047.0</v>
      </c>
      <c r="F5" s="58">
        <v>7010.0</v>
      </c>
      <c r="G5" s="58">
        <v>10000.0</v>
      </c>
      <c r="H5" s="62">
        <v>70.0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8</v>
      </c>
      <c r="B6" s="55" t="s">
        <v>335</v>
      </c>
      <c r="C6" s="2"/>
      <c r="D6" s="61">
        <v>46048.0</v>
      </c>
      <c r="E6" s="57">
        <v>46054.0</v>
      </c>
      <c r="F6" s="58">
        <v>17770.0</v>
      </c>
      <c r="G6" s="58">
        <v>10000.0</v>
      </c>
      <c r="H6" s="59">
        <v>178.0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63"/>
      <c r="C7" s="2"/>
      <c r="D7" s="57">
        <v>46055.0</v>
      </c>
      <c r="E7" s="57">
        <v>46061.0</v>
      </c>
      <c r="F7" s="58">
        <v>15288.0</v>
      </c>
      <c r="G7" s="58">
        <v>10000.0</v>
      </c>
      <c r="H7" s="59">
        <v>153.0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63"/>
      <c r="C8" s="2"/>
      <c r="D8" s="61">
        <v>46062.0</v>
      </c>
      <c r="E8" s="61">
        <v>46068.0</v>
      </c>
      <c r="F8" s="58">
        <v>13418.0</v>
      </c>
      <c r="G8" s="58">
        <v>10000.0</v>
      </c>
      <c r="H8" s="59">
        <v>134.0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3"/>
      <c r="C9" s="2"/>
      <c r="D9" s="61">
        <v>46069.0</v>
      </c>
      <c r="E9" s="61">
        <v>46075.0</v>
      </c>
      <c r="F9" s="58">
        <v>6050.0</v>
      </c>
      <c r="G9" s="58">
        <v>10000.0</v>
      </c>
      <c r="H9" s="62">
        <v>61.0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63"/>
      <c r="C10" s="2"/>
      <c r="D10" s="61">
        <v>46076.0</v>
      </c>
      <c r="E10" s="61">
        <v>46082.0</v>
      </c>
      <c r="F10" s="58">
        <v>18190.0</v>
      </c>
      <c r="G10" s="58">
        <v>10000.0</v>
      </c>
      <c r="H10" s="59">
        <v>182.0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63"/>
      <c r="C11" s="2"/>
      <c r="D11" s="61">
        <v>46083.0</v>
      </c>
      <c r="E11" s="57">
        <v>46089.0</v>
      </c>
      <c r="F11" s="58">
        <v>16738.0</v>
      </c>
      <c r="G11" s="58">
        <v>10000.0</v>
      </c>
      <c r="H11" s="59">
        <v>167.0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63"/>
      <c r="C12" s="2"/>
      <c r="D12" s="57">
        <v>46090.0</v>
      </c>
      <c r="E12" s="61">
        <v>46096.0</v>
      </c>
      <c r="F12" s="58">
        <v>14338.0</v>
      </c>
      <c r="G12" s="58">
        <v>10000.0</v>
      </c>
      <c r="H12" s="59">
        <v>143.0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63"/>
      <c r="C13" s="2"/>
      <c r="D13" s="61">
        <v>46097.0</v>
      </c>
      <c r="E13" s="61">
        <v>46103.0</v>
      </c>
      <c r="F13" s="58">
        <v>12010.0</v>
      </c>
      <c r="G13" s="58">
        <v>10000.0</v>
      </c>
      <c r="H13" s="59">
        <v>120.0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63"/>
      <c r="C14" s="2"/>
      <c r="D14" s="61">
        <v>46104.0</v>
      </c>
      <c r="E14" s="61">
        <v>46110.0</v>
      </c>
      <c r="F14" s="58">
        <v>9118.0</v>
      </c>
      <c r="G14" s="58">
        <v>10000.0</v>
      </c>
      <c r="H14" s="64">
        <v>91.0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63"/>
      <c r="C15" s="2"/>
      <c r="D15" s="61">
        <v>46111.0</v>
      </c>
      <c r="E15" s="57">
        <v>46117.0</v>
      </c>
      <c r="F15" s="58">
        <v>26017.0</v>
      </c>
      <c r="G15" s="58">
        <v>10000.0</v>
      </c>
      <c r="H15" s="59">
        <v>260.0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63"/>
      <c r="C16" s="2"/>
      <c r="D16" s="57"/>
      <c r="E16" s="61"/>
      <c r="F16" s="58"/>
      <c r="G16" s="58"/>
      <c r="H16" s="6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63"/>
      <c r="C17" s="2"/>
      <c r="D17" s="61"/>
      <c r="E17" s="61"/>
      <c r="F17" s="58"/>
      <c r="G17" s="58"/>
      <c r="H17" s="6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63"/>
      <c r="C18" s="2"/>
      <c r="D18" s="61"/>
      <c r="E18" s="61"/>
      <c r="F18" s="58"/>
      <c r="G18" s="58"/>
      <c r="H18" s="6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63"/>
      <c r="C19" s="2"/>
      <c r="D19" s="61"/>
      <c r="E19" s="57"/>
      <c r="F19" s="58"/>
      <c r="G19" s="58"/>
      <c r="H19" s="6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63"/>
      <c r="C20" s="2"/>
      <c r="D20" s="66"/>
      <c r="E20" s="67"/>
      <c r="F20" s="58"/>
      <c r="G20" s="58"/>
      <c r="H20" s="6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63"/>
      <c r="C21" s="2"/>
      <c r="D21" s="67"/>
      <c r="E21" s="67"/>
      <c r="F21" s="58"/>
      <c r="G21" s="58"/>
      <c r="H21" s="65"/>
      <c r="I21" s="2"/>
      <c r="J21" s="2"/>
      <c r="K21" s="2"/>
      <c r="L21" s="6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63"/>
      <c r="C22" s="2"/>
      <c r="D22" s="67"/>
      <c r="E22" s="67"/>
      <c r="F22" s="58"/>
      <c r="G22" s="58"/>
      <c r="H22" s="6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63"/>
      <c r="C23" s="2"/>
      <c r="D23" s="67"/>
      <c r="E23" s="67"/>
      <c r="F23" s="58"/>
      <c r="G23" s="58"/>
      <c r="H23" s="65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63"/>
      <c r="C24" s="2"/>
      <c r="D24" s="57"/>
      <c r="E24" s="57"/>
      <c r="F24" s="58"/>
      <c r="G24" s="58"/>
      <c r="H24" s="6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63"/>
      <c r="C25" s="2"/>
      <c r="D25" s="57"/>
      <c r="E25" s="61"/>
      <c r="F25" s="58"/>
      <c r="G25" s="58"/>
      <c r="H25" s="6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63"/>
      <c r="C26" s="2"/>
      <c r="D26" s="61"/>
      <c r="E26" s="61"/>
      <c r="F26" s="58"/>
      <c r="G26" s="58"/>
      <c r="H26" s="6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63"/>
      <c r="C27" s="2"/>
      <c r="D27" s="61"/>
      <c r="E27" s="61"/>
      <c r="F27" s="58"/>
      <c r="G27" s="58"/>
      <c r="H27" s="6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63"/>
      <c r="C28" s="2"/>
      <c r="D28" s="61"/>
      <c r="E28" s="57"/>
      <c r="F28" s="58"/>
      <c r="G28" s="58"/>
      <c r="H28" s="65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63"/>
      <c r="C29" s="2"/>
      <c r="D29" s="57"/>
      <c r="E29" s="61"/>
      <c r="F29" s="58"/>
      <c r="G29" s="58"/>
      <c r="H29" s="5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63"/>
      <c r="C30" s="2"/>
      <c r="D30" s="61"/>
      <c r="E30" s="61"/>
      <c r="F30" s="58"/>
      <c r="G30" s="58"/>
      <c r="H30" s="5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63"/>
      <c r="C31" s="2"/>
      <c r="D31" s="61"/>
      <c r="E31" s="61"/>
      <c r="F31" s="58"/>
      <c r="G31" s="58"/>
      <c r="H31" s="5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63"/>
      <c r="C32" s="2"/>
      <c r="D32" s="61"/>
      <c r="E32" s="57"/>
      <c r="F32" s="58"/>
      <c r="G32" s="58"/>
      <c r="H32" s="5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63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63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6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6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6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6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6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6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6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6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6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6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6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6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6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6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6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6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6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6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6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6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6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6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6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6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6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6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6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6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6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6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6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6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6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6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6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6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6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6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6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6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6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6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6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6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6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6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6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6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6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6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6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6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6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6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6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6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6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6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6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6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6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6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6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6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6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6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6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6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6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6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6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6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6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6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6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6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6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6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6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6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6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6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6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6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6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6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6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6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6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6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6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6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6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6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6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6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6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6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6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6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6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6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6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6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6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6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6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6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6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6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6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6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6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6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6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6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6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6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6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6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6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6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6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6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6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6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6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6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6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6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6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6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6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6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6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6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6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6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6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6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6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6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6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6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6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6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6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6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6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6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6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6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6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6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6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6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6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6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6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6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6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6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6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6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6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6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6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6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6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6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6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6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6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6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6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6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6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6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6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6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6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6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6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6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6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6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6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6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6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6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6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6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6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6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6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6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6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6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6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6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63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63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63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63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63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63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63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63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63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63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63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63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63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63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63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6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6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6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6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6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6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6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6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6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6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6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6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6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6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6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6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6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6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6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6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6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6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6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6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6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6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6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6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6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6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6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6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6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6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6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6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6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6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6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6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6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6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6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6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6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6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6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6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6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6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6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6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6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6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6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6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6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6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6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6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6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6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6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6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6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6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6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6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6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6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6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6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6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6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6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6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6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6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6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6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6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6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6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6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6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6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6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6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6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6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6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6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6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6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6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6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6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6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6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6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6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6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6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6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6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6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6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6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6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6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6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6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6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6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6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6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6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6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6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6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6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6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6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6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6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6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6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6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6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6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6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6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6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6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6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6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6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6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6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6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6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6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6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6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6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6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6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6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6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6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6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6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6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6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6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6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6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6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6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6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6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6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6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6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6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6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6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6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6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6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6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6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6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6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6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6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6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6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6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6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6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6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6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6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6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6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6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6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6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6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6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6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6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6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6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6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6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6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6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6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6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6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6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6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6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6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6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6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6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6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6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6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6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6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6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6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6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6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6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6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6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6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6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6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6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6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6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6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6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6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6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6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6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6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6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6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6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6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6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6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6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6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6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6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6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6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6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6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6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6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6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6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6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6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6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6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6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6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6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6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6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6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6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6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6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6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6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6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6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6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6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6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6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6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6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6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6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6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6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6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6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6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6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6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6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6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6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6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6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6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6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6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6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6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6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6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6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6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6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6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6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6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6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6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6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6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6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6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6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6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6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6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6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6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6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6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6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6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6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6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6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6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6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6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6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6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6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6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6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6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6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6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6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6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6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6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6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6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6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6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6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6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6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6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6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6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6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6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6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6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6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6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6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6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6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6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6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6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6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6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6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6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6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6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6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6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6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6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6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6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6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6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6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6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6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6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6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6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6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6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6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6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6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6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6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6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6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6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6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6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6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6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6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6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6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6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6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6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6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6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6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6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6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6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6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6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6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6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6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6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6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6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6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6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6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6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6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6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6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6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6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6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6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6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6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6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6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6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6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6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6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6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6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6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6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6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6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6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6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6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6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6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6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6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6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6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6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6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6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6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6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6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6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6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6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6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6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6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6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6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6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6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6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6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6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6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6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6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6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6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6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6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6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6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6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6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6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6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6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6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6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6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6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6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6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6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6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6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6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6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6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6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6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6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6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6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6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6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6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6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6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6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6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6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6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6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6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6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6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6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6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6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6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6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6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6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6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6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6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6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6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6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6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6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6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6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6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6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6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6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6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6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6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6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6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6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6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6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6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6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6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6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6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6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6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6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6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6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6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6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6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6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6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6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6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6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6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6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6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6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6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6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6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6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6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6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6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6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6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6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6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6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6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6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6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6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6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6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6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6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6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6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6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6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6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6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6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6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6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6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6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6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6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6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6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6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6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6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6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6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6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6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6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6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6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6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6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6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6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6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6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6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6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6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6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6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6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6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6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6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6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6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6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6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6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6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6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6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6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6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6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6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6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6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6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6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6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6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6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6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6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6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6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6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6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6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6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6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6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6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6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6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6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6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6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6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6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6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6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6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6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6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6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6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6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6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6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6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6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6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6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6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6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6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6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6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6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6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6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6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6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6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6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6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6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6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6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6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6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6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6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6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6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6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6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6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6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6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6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6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6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6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6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6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6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6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6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6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6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6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6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6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6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6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6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6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6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6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6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6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6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6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6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6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6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6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6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6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6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6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6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6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6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6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6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6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6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6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6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6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6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6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6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6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6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6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63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63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63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63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63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list" allowBlank="1" showErrorMessage="1" sqref="B5">
      <formula1>"All,Need,Want,Saving"</formula1>
    </dataValidation>
    <dataValidation type="list" allowBlank="1" sqref="B2">
      <formula1>"Q1,Q2,Q3,Q4"</formula1>
    </dataValidation>
    <dataValidation type="list" allowBlank="1" sqref="B6">
      <formula1>"All,Credit Card,Debit Card,UPI,Cash,Bank Transfer"</formula1>
    </dataValidation>
    <dataValidation type="list" allowBlank="1" showErrorMessage="1" sqref="B1">
      <formula1>"Quarter,Custom"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5" max="5" width="27.0"/>
  </cols>
  <sheetData>
    <row r="1">
      <c r="A1" s="68" t="s">
        <v>336</v>
      </c>
      <c r="B1" s="68" t="s">
        <v>0</v>
      </c>
      <c r="C1" s="2"/>
      <c r="D1" s="2"/>
      <c r="E1" s="2"/>
      <c r="F1" s="2"/>
      <c r="G1" s="2"/>
      <c r="H1" s="2"/>
      <c r="I1" s="2"/>
      <c r="J1" s="69" t="s">
        <v>337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338</v>
      </c>
      <c r="B2" s="4">
        <v>2026.0</v>
      </c>
      <c r="C2" s="2"/>
      <c r="D2" s="2"/>
      <c r="E2" s="2"/>
      <c r="F2" s="2"/>
      <c r="G2" s="2"/>
      <c r="H2" s="2"/>
      <c r="I2" s="2"/>
      <c r="J2" s="58">
        <v>10.0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23</v>
      </c>
      <c r="B4" s="1" t="s">
        <v>339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0">
        <f t="array" ref="A5:A34">DATE($B$2, MATCH($A$2, {"Jan","Feb","Mar","Apr","May","Jun","Jul","Aug","Sep","Oct","Nov","Dec"}, 0), 1)
  + SEQUENCE(
      DAY(EOMONTH(
        DATE($B$2, MATCH($A$2, {"Jan","Feb","Mar","Apr","May","Jun","Jul","Aug","Sep","Oct","Nov","Dec"}, 0), 1),
        0
      )),
      1,
      0,
      1
    )
</f>
        <v>46113</v>
      </c>
      <c r="B5" s="54">
        <f>IFERROR(__xludf.DUMMYFUNCTION("MAP(
  A5:A1000,
  LAMBDA(d,
    IF(d="""","""",
      IFERROR(
        SUM(
          FILTER(
            'Daily Expense Tracker'!D:D,
            'Daily Expense Tracker'!A:A = d,
            ('Daily Expense Tracker'!F:F = ""Need"") +
            ('Daily"&amp;" Expense Tracker'!F:F = ""Want"")
          )
        ),
        0
      )
    )
  )
)
"),13850.0)</f>
        <v>13850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0">
        <v>46114.0</v>
      </c>
      <c r="B6" s="54">
        <f>IFERROR(__xludf.DUMMYFUNCTION("""COMPUTED_VALUE"""),1079.0)</f>
        <v>1079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0">
        <v>46115.0</v>
      </c>
      <c r="B7" s="54">
        <f>IFERROR(__xludf.DUMMYFUNCTION("""COMPUTED_VALUE"""),2180.0)</f>
        <v>2180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0">
        <v>46116.0</v>
      </c>
      <c r="B8" s="54">
        <f>IFERROR(__xludf.DUMMYFUNCTION("""COMPUTED_VALUE"""),1580.0)</f>
        <v>1580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0">
        <v>46117.0</v>
      </c>
      <c r="B9" s="54">
        <f>IFERROR(__xludf.DUMMYFUNCTION("""COMPUTED_VALUE"""),768.0)</f>
        <v>768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0">
        <v>46118.0</v>
      </c>
      <c r="B10" s="54">
        <f>IFERROR(__xludf.DUMMYFUNCTION("""COMPUTED_VALUE"""),1580.0)</f>
        <v>1580</v>
      </c>
      <c r="C10" s="2"/>
      <c r="D10" s="2"/>
      <c r="E10" s="4"/>
      <c r="F10" s="5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0">
        <v>46119.0</v>
      </c>
      <c r="B11" s="54">
        <f>IFERROR(__xludf.DUMMYFUNCTION("""COMPUTED_VALUE"""),1260.0)</f>
        <v>1260</v>
      </c>
      <c r="C11" s="2"/>
      <c r="D11" s="2"/>
      <c r="E11" s="4"/>
      <c r="F11" s="5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0">
        <v>46120.0</v>
      </c>
      <c r="B12" s="54">
        <f>IFERROR(__xludf.DUMMYFUNCTION("""COMPUTED_VALUE"""),1329.0)</f>
        <v>1329</v>
      </c>
      <c r="C12" s="2"/>
      <c r="D12" s="2"/>
      <c r="E12" s="4"/>
      <c r="F12" s="5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0">
        <v>46121.0</v>
      </c>
      <c r="B13" s="54">
        <f>IFERROR(__xludf.DUMMYFUNCTION("""COMPUTED_VALUE"""),420.0)</f>
        <v>420</v>
      </c>
      <c r="C13" s="2"/>
      <c r="D13" s="2"/>
      <c r="E13" s="4"/>
      <c r="F13" s="5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0">
        <v>46122.0</v>
      </c>
      <c r="B14" s="54">
        <f>IFERROR(__xludf.DUMMYFUNCTION("""COMPUTED_VALUE"""),1000.0)</f>
        <v>1000</v>
      </c>
      <c r="C14" s="2"/>
      <c r="D14" s="2"/>
      <c r="E14" s="4"/>
      <c r="F14" s="5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0">
        <v>46123.0</v>
      </c>
      <c r="B15" s="54">
        <f>IFERROR(__xludf.DUMMYFUNCTION("""COMPUTED_VALUE"""),2330.0)</f>
        <v>2330</v>
      </c>
      <c r="C15" s="2"/>
      <c r="D15" s="2"/>
      <c r="E15" s="2"/>
      <c r="F15" s="5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0">
        <v>46124.0</v>
      </c>
      <c r="B16" s="54">
        <f>IFERROR(__xludf.DUMMYFUNCTION("""COMPUTED_VALUE"""),930.0)</f>
        <v>930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0">
        <v>46125.0</v>
      </c>
      <c r="B17" s="54">
        <f>IFERROR(__xludf.DUMMYFUNCTION("""COMPUTED_VALUE"""),0.0)</f>
        <v>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70">
        <v>46126.0</v>
      </c>
      <c r="B18" s="54">
        <f>IFERROR(__xludf.DUMMYFUNCTION("""COMPUTED_VALUE"""),0.0)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0">
        <v>46127.0</v>
      </c>
      <c r="B19" s="54">
        <f>IFERROR(__xludf.DUMMYFUNCTION("""COMPUTED_VALUE"""),0.0)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0">
        <v>46128.0</v>
      </c>
      <c r="B20" s="54">
        <f>IFERROR(__xludf.DUMMYFUNCTION("""COMPUTED_VALUE"""),0.0)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0">
        <v>46129.0</v>
      </c>
      <c r="B21" s="54">
        <f>IFERROR(__xludf.DUMMYFUNCTION("""COMPUTED_VALUE"""),0.0)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70">
        <v>46130.0</v>
      </c>
      <c r="B22" s="54">
        <f>IFERROR(__xludf.DUMMYFUNCTION("""COMPUTED_VALUE"""),0.0)</f>
        <v>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0">
        <v>46131.0</v>
      </c>
      <c r="B23" s="54">
        <f>IFERROR(__xludf.DUMMYFUNCTION("""COMPUTED_VALUE"""),0.0)</f>
        <v>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0">
        <v>46132.0</v>
      </c>
      <c r="B24" s="54">
        <f>IFERROR(__xludf.DUMMYFUNCTION("""COMPUTED_VALUE"""),0.0)</f>
        <v>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0">
        <v>46133.0</v>
      </c>
      <c r="B25" s="54">
        <f>IFERROR(__xludf.DUMMYFUNCTION("""COMPUTED_VALUE"""),0.0)</f>
        <v>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0">
        <v>46134.0</v>
      </c>
      <c r="B26" s="54">
        <f>IFERROR(__xludf.DUMMYFUNCTION("""COMPUTED_VALUE"""),0.0)</f>
        <v>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0">
        <v>46135.0</v>
      </c>
      <c r="B27" s="54">
        <f>IFERROR(__xludf.DUMMYFUNCTION("""COMPUTED_VALUE"""),0.0)</f>
        <v>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0">
        <v>46136.0</v>
      </c>
      <c r="B28" s="54">
        <f>IFERROR(__xludf.DUMMYFUNCTION("""COMPUTED_VALUE"""),0.0)</f>
        <v>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0">
        <v>46137.0</v>
      </c>
      <c r="B29" s="54">
        <f>IFERROR(__xludf.DUMMYFUNCTION("""COMPUTED_VALUE"""),0.0)</f>
        <v>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0">
        <v>46138.0</v>
      </c>
      <c r="B30" s="54">
        <f>IFERROR(__xludf.DUMMYFUNCTION("""COMPUTED_VALUE"""),0.0)</f>
        <v>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0">
        <v>46139.0</v>
      </c>
      <c r="B31" s="54">
        <f>IFERROR(__xludf.DUMMYFUNCTION("""COMPUTED_VALUE"""),0.0)</f>
        <v>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0">
        <v>46140.0</v>
      </c>
      <c r="B32" s="54">
        <f>IFERROR(__xludf.DUMMYFUNCTION("""COMPUTED_VALUE"""),0.0)</f>
        <v>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0">
        <v>46141.0</v>
      </c>
      <c r="B33" s="71">
        <f>IFERROR(__xludf.DUMMYFUNCTION("""COMPUTED_VALUE"""),0.0)</f>
        <v>0</v>
      </c>
      <c r="C33" s="54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0">
        <v>46142.0</v>
      </c>
      <c r="B34" s="71">
        <f>IFERROR(__xludf.DUMMYFUNCTION("""COMPUTED_VALUE"""),0.0)</f>
        <v>0</v>
      </c>
      <c r="C34" s="54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0"/>
      <c r="B35" s="71" t="str">
        <f>IFERROR(__xludf.DUMMYFUNCTION("""COMPUTED_VALUE"""),"")</f>
        <v/>
      </c>
      <c r="C35" s="54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2"/>
      <c r="B36" s="2" t="str">
        <f>IFERROR(__xludf.DUMMYFUNCTION("""COMPUTED_VALUE"""),"")</f>
        <v/>
      </c>
      <c r="C36" s="54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2"/>
      <c r="B37" s="2" t="str">
        <f>IFERROR(__xludf.DUMMYFUNCTION("""COMPUTED_VALUE"""),"")</f>
        <v/>
      </c>
      <c r="C37" s="5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2"/>
      <c r="B38" s="2" t="str">
        <f>IFERROR(__xludf.DUMMYFUNCTION("""COMPUTED_VALUE"""),"")</f>
        <v/>
      </c>
      <c r="C38" s="54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2"/>
      <c r="B39" s="2" t="str">
        <f>IFERROR(__xludf.DUMMYFUNCTION("""COMPUTED_VALUE"""),"")</f>
        <v/>
      </c>
      <c r="C39" s="54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2"/>
      <c r="B40" s="2" t="str">
        <f>IFERROR(__xludf.DUMMYFUNCTION("""COMPUTED_VALUE"""),"")</f>
        <v/>
      </c>
      <c r="C40" s="5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2"/>
      <c r="B41" s="2" t="str">
        <f>IFERROR(__xludf.DUMMYFUNCTION("""COMPUTED_VALUE"""),"")</f>
        <v/>
      </c>
      <c r="C41" s="5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2"/>
      <c r="B42" s="2" t="str">
        <f>IFERROR(__xludf.DUMMYFUNCTION("""COMPUTED_VALUE"""),"")</f>
        <v/>
      </c>
      <c r="C42" s="54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2"/>
      <c r="B43" s="2" t="str">
        <f>IFERROR(__xludf.DUMMYFUNCTION("""COMPUTED_VALUE"""),"")</f>
        <v/>
      </c>
      <c r="C43" s="5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2"/>
      <c r="B44" s="2" t="str">
        <f>IFERROR(__xludf.DUMMYFUNCTION("""COMPUTED_VALUE"""),"")</f>
        <v/>
      </c>
      <c r="C44" s="54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2"/>
      <c r="B45" s="2" t="str">
        <f>IFERROR(__xludf.DUMMYFUNCTION("""COMPUTED_VALUE"""),"")</f>
        <v/>
      </c>
      <c r="C45" s="54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2"/>
      <c r="B46" s="2" t="str">
        <f>IFERROR(__xludf.DUMMYFUNCTION("""COMPUTED_VALUE"""),"")</f>
        <v/>
      </c>
      <c r="C46" s="54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2"/>
      <c r="B47" s="2" t="str">
        <f>IFERROR(__xludf.DUMMYFUNCTION("""COMPUTED_VALUE"""),"")</f>
        <v/>
      </c>
      <c r="C47" s="54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2"/>
      <c r="B48" s="2" t="str">
        <f>IFERROR(__xludf.DUMMYFUNCTION("""COMPUTED_VALUE"""),"")</f>
        <v/>
      </c>
      <c r="C48" s="54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72"/>
      <c r="B49" s="2" t="str">
        <f>IFERROR(__xludf.DUMMYFUNCTION("""COMPUTED_VALUE"""),"")</f>
        <v/>
      </c>
      <c r="C49" s="54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2"/>
      <c r="B50" s="2" t="str">
        <f>IFERROR(__xludf.DUMMYFUNCTION("""COMPUTED_VALUE"""),"")</f>
        <v/>
      </c>
      <c r="C50" s="54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72"/>
      <c r="B51" s="2" t="str">
        <f>IFERROR(__xludf.DUMMYFUNCTION("""COMPUTED_VALUE"""),"")</f>
        <v/>
      </c>
      <c r="C51" s="5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2"/>
      <c r="B52" s="2" t="str">
        <f>IFERROR(__xludf.DUMMYFUNCTION("""COMPUTED_VALUE"""),"")</f>
        <v/>
      </c>
      <c r="C52" s="5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2"/>
      <c r="B53" s="2" t="str">
        <f>IFERROR(__xludf.DUMMYFUNCTION("""COMPUTED_VALUE"""),"")</f>
        <v/>
      </c>
      <c r="C53" s="5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2"/>
      <c r="B54" s="2" t="str">
        <f>IFERROR(__xludf.DUMMYFUNCTION("""COMPUTED_VALUE"""),"")</f>
        <v/>
      </c>
      <c r="C54" s="5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2"/>
      <c r="B55" s="2" t="str">
        <f>IFERROR(__xludf.DUMMYFUNCTION("""COMPUTED_VALUE"""),"")</f>
        <v/>
      </c>
      <c r="C55" s="5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72"/>
      <c r="B56" s="2" t="str">
        <f>IFERROR(__xludf.DUMMYFUNCTION("""COMPUTED_VALUE"""),"")</f>
        <v/>
      </c>
      <c r="C56" s="5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2"/>
      <c r="B57" s="2" t="str">
        <f>IFERROR(__xludf.DUMMYFUNCTION("""COMPUTED_VALUE"""),"")</f>
        <v/>
      </c>
      <c r="C57" s="5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2"/>
      <c r="B58" s="2" t="str">
        <f>IFERROR(__xludf.DUMMYFUNCTION("""COMPUTED_VALUE"""),"")</f>
        <v/>
      </c>
      <c r="C58" s="5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2"/>
      <c r="B59" s="2" t="str">
        <f>IFERROR(__xludf.DUMMYFUNCTION("""COMPUTED_VALUE"""),"")</f>
        <v/>
      </c>
      <c r="C59" s="5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2"/>
      <c r="B60" s="2" t="str">
        <f>IFERROR(__xludf.DUMMYFUNCTION("""COMPUTED_VALUE"""),"")</f>
        <v/>
      </c>
      <c r="C60" s="5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2"/>
      <c r="B61" s="2" t="str">
        <f>IFERROR(__xludf.DUMMYFUNCTION("""COMPUTED_VALUE"""),"")</f>
        <v/>
      </c>
      <c r="C61" s="5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2"/>
      <c r="B62" s="2" t="str">
        <f>IFERROR(__xludf.DUMMYFUNCTION("""COMPUTED_VALUE"""),"")</f>
        <v/>
      </c>
      <c r="C62" s="5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2"/>
      <c r="B63" s="2" t="str">
        <f>IFERROR(__xludf.DUMMYFUNCTION("""COMPUTED_VALUE"""),"")</f>
        <v/>
      </c>
      <c r="C63" s="5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2"/>
      <c r="B64" s="2" t="str">
        <f>IFERROR(__xludf.DUMMYFUNCTION("""COMPUTED_VALUE"""),"")</f>
        <v/>
      </c>
      <c r="C64" s="5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72"/>
      <c r="B65" s="2" t="str">
        <f>IFERROR(__xludf.DUMMYFUNCTION("""COMPUTED_VALUE"""),"")</f>
        <v/>
      </c>
      <c r="C65" s="54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2"/>
      <c r="B66" s="2" t="str">
        <f>IFERROR(__xludf.DUMMYFUNCTION("""COMPUTED_VALUE"""),"")</f>
        <v/>
      </c>
      <c r="C66" s="54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2"/>
      <c r="B67" s="2" t="str">
        <f>IFERROR(__xludf.DUMMYFUNCTION("""COMPUTED_VALUE"""),"")</f>
        <v/>
      </c>
      <c r="C67" s="54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2"/>
      <c r="B68" s="2" t="str">
        <f>IFERROR(__xludf.DUMMYFUNCTION("""COMPUTED_VALUE"""),"")</f>
        <v/>
      </c>
      <c r="C68" s="54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2"/>
      <c r="B69" s="2" t="str">
        <f>IFERROR(__xludf.DUMMYFUNCTION("""COMPUTED_VALUE"""),"")</f>
        <v/>
      </c>
      <c r="C69" s="54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2"/>
      <c r="B70" s="2" t="str">
        <f>IFERROR(__xludf.DUMMYFUNCTION("""COMPUTED_VALUE"""),"")</f>
        <v/>
      </c>
      <c r="C70" s="54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2"/>
      <c r="B71" s="2" t="str">
        <f>IFERROR(__xludf.DUMMYFUNCTION("""COMPUTED_VALUE"""),"")</f>
        <v/>
      </c>
      <c r="C71" s="5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2"/>
      <c r="B72" s="2" t="str">
        <f>IFERROR(__xludf.DUMMYFUNCTION("""COMPUTED_VALUE"""),"")</f>
        <v/>
      </c>
      <c r="C72" s="54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2"/>
      <c r="B73" s="2" t="str">
        <f>IFERROR(__xludf.DUMMYFUNCTION("""COMPUTED_VALUE"""),"")</f>
        <v/>
      </c>
      <c r="C73" s="54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2"/>
      <c r="B74" s="2" t="str">
        <f>IFERROR(__xludf.DUMMYFUNCTION("""COMPUTED_VALUE"""),"")</f>
        <v/>
      </c>
      <c r="C74" s="54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72"/>
      <c r="B75" s="2" t="str">
        <f>IFERROR(__xludf.DUMMYFUNCTION("""COMPUTED_VALUE"""),"")</f>
        <v/>
      </c>
      <c r="C75" s="54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72"/>
      <c r="B76" s="2" t="str">
        <f>IFERROR(__xludf.DUMMYFUNCTION("""COMPUTED_VALUE"""),"")</f>
        <v/>
      </c>
      <c r="C76" s="54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2"/>
      <c r="B77" s="2" t="str">
        <f>IFERROR(__xludf.DUMMYFUNCTION("""COMPUTED_VALUE"""),"")</f>
        <v/>
      </c>
      <c r="C77" s="54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2"/>
      <c r="B78" s="2" t="str">
        <f>IFERROR(__xludf.DUMMYFUNCTION("""COMPUTED_VALUE"""),"")</f>
        <v/>
      </c>
      <c r="C78" s="54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2"/>
      <c r="B79" s="2" t="str">
        <f>IFERROR(__xludf.DUMMYFUNCTION("""COMPUTED_VALUE"""),"")</f>
        <v/>
      </c>
      <c r="C79" s="54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2"/>
      <c r="B80" s="2" t="str">
        <f>IFERROR(__xludf.DUMMYFUNCTION("""COMPUTED_VALUE"""),"")</f>
        <v/>
      </c>
      <c r="C80" s="54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2"/>
      <c r="B81" s="2" t="str">
        <f>IFERROR(__xludf.DUMMYFUNCTION("""COMPUTED_VALUE"""),"")</f>
        <v/>
      </c>
      <c r="C81" s="54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2"/>
      <c r="B82" s="2" t="str">
        <f>IFERROR(__xludf.DUMMYFUNCTION("""COMPUTED_VALUE"""),"")</f>
        <v/>
      </c>
      <c r="C82" s="54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2"/>
      <c r="B83" s="2" t="str">
        <f>IFERROR(__xludf.DUMMYFUNCTION("""COMPUTED_VALUE"""),"")</f>
        <v/>
      </c>
      <c r="C83" s="54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2"/>
      <c r="B84" s="2" t="str">
        <f>IFERROR(__xludf.DUMMYFUNCTION("""COMPUTED_VALUE"""),"")</f>
        <v/>
      </c>
      <c r="C84" s="54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2"/>
      <c r="B85" s="2" t="str">
        <f>IFERROR(__xludf.DUMMYFUNCTION("""COMPUTED_VALUE"""),"")</f>
        <v/>
      </c>
      <c r="C85" s="54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2"/>
      <c r="B86" s="2" t="str">
        <f>IFERROR(__xludf.DUMMYFUNCTION("""COMPUTED_VALUE"""),"")</f>
        <v/>
      </c>
      <c r="C86" s="54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2"/>
      <c r="B87" s="2" t="str">
        <f>IFERROR(__xludf.DUMMYFUNCTION("""COMPUTED_VALUE"""),"")</f>
        <v/>
      </c>
      <c r="C87" s="54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2"/>
      <c r="B88" s="2" t="str">
        <f>IFERROR(__xludf.DUMMYFUNCTION("""COMPUTED_VALUE"""),"")</f>
        <v/>
      </c>
      <c r="C88" s="54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2"/>
      <c r="B89" s="2" t="str">
        <f>IFERROR(__xludf.DUMMYFUNCTION("""COMPUTED_VALUE"""),"")</f>
        <v/>
      </c>
      <c r="C89" s="54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72"/>
      <c r="B90" s="2" t="str">
        <f>IFERROR(__xludf.DUMMYFUNCTION("""COMPUTED_VALUE"""),"")</f>
        <v/>
      </c>
      <c r="C90" s="54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72"/>
      <c r="B91" s="2" t="str">
        <f>IFERROR(__xludf.DUMMYFUNCTION("""COMPUTED_VALUE"""),"")</f>
        <v/>
      </c>
      <c r="C91" s="54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72"/>
      <c r="B92" s="2" t="str">
        <f>IFERROR(__xludf.DUMMYFUNCTION("""COMPUTED_VALUE"""),"")</f>
        <v/>
      </c>
      <c r="C92" s="54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72"/>
      <c r="B93" s="2" t="str">
        <f>IFERROR(__xludf.DUMMYFUNCTION("""COMPUTED_VALUE"""),"")</f>
        <v/>
      </c>
      <c r="C93" s="54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72"/>
      <c r="B94" s="2" t="str">
        <f>IFERROR(__xludf.DUMMYFUNCTION("""COMPUTED_VALUE"""),"")</f>
        <v/>
      </c>
      <c r="C94" s="54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72"/>
      <c r="B95" s="2" t="str">
        <f>IFERROR(__xludf.DUMMYFUNCTION("""COMPUTED_VALUE"""),"")</f>
        <v/>
      </c>
      <c r="C95" s="54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72"/>
      <c r="B96" s="2" t="str">
        <f>IFERROR(__xludf.DUMMYFUNCTION("""COMPUTED_VALUE"""),"")</f>
        <v/>
      </c>
      <c r="C96" s="54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72"/>
      <c r="B97" s="2" t="str">
        <f>IFERROR(__xludf.DUMMYFUNCTION("""COMPUTED_VALUE"""),"")</f>
        <v/>
      </c>
      <c r="C97" s="54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2"/>
      <c r="B98" s="2" t="str">
        <f>IFERROR(__xludf.DUMMYFUNCTION("""COMPUTED_VALUE"""),"")</f>
        <v/>
      </c>
      <c r="C98" s="54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72"/>
      <c r="B99" s="2" t="str">
        <f>IFERROR(__xludf.DUMMYFUNCTION("""COMPUTED_VALUE"""),"")</f>
        <v/>
      </c>
      <c r="C99" s="54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72"/>
      <c r="B100" s="2" t="str">
        <f>IFERROR(__xludf.DUMMYFUNCTION("""COMPUTED_VALUE"""),"")</f>
        <v/>
      </c>
      <c r="C100" s="54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72"/>
      <c r="B101" s="2" t="str">
        <f>IFERROR(__xludf.DUMMYFUNCTION("""COMPUTED_VALUE"""),"")</f>
        <v/>
      </c>
      <c r="C101" s="54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72"/>
      <c r="B102" s="2" t="str">
        <f>IFERROR(__xludf.DUMMYFUNCTION("""COMPUTED_VALUE"""),"")</f>
        <v/>
      </c>
      <c r="C102" s="54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72"/>
      <c r="B103" s="2" t="str">
        <f>IFERROR(__xludf.DUMMYFUNCTION("""COMPUTED_VALUE"""),"")</f>
        <v/>
      </c>
      <c r="C103" s="54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72"/>
      <c r="B104" s="2" t="str">
        <f>IFERROR(__xludf.DUMMYFUNCTION("""COMPUTED_VALUE"""),"")</f>
        <v/>
      </c>
      <c r="C104" s="54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72"/>
      <c r="B105" s="2" t="str">
        <f>IFERROR(__xludf.DUMMYFUNCTION("""COMPUTED_VALUE"""),"")</f>
        <v/>
      </c>
      <c r="C105" s="54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72"/>
      <c r="B106" s="2" t="str">
        <f>IFERROR(__xludf.DUMMYFUNCTION("""COMPUTED_VALUE"""),"")</f>
        <v/>
      </c>
      <c r="C106" s="54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72"/>
      <c r="B107" s="2" t="str">
        <f>IFERROR(__xludf.DUMMYFUNCTION("""COMPUTED_VALUE"""),"")</f>
        <v/>
      </c>
      <c r="C107" s="54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72"/>
      <c r="B108" s="2" t="str">
        <f>IFERROR(__xludf.DUMMYFUNCTION("""COMPUTED_VALUE"""),"")</f>
        <v/>
      </c>
      <c r="C108" s="54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72"/>
      <c r="B109" s="2" t="str">
        <f>IFERROR(__xludf.DUMMYFUNCTION("""COMPUTED_VALUE"""),"")</f>
        <v/>
      </c>
      <c r="C109" s="54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72"/>
      <c r="B110" s="2" t="str">
        <f>IFERROR(__xludf.DUMMYFUNCTION("""COMPUTED_VALUE"""),"")</f>
        <v/>
      </c>
      <c r="C110" s="54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72"/>
      <c r="B111" s="2" t="str">
        <f>IFERROR(__xludf.DUMMYFUNCTION("""COMPUTED_VALUE"""),"")</f>
        <v/>
      </c>
      <c r="C111" s="54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72"/>
      <c r="B112" s="2" t="str">
        <f>IFERROR(__xludf.DUMMYFUNCTION("""COMPUTED_VALUE"""),"")</f>
        <v/>
      </c>
      <c r="C112" s="54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72"/>
      <c r="B113" s="2" t="str">
        <f>IFERROR(__xludf.DUMMYFUNCTION("""COMPUTED_VALUE"""),"")</f>
        <v/>
      </c>
      <c r="C113" s="54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72"/>
      <c r="B114" s="2" t="str">
        <f>IFERROR(__xludf.DUMMYFUNCTION("""COMPUTED_VALUE"""),"")</f>
        <v/>
      </c>
      <c r="C114" s="54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72"/>
      <c r="B115" s="2" t="str">
        <f>IFERROR(__xludf.DUMMYFUNCTION("""COMPUTED_VALUE"""),"")</f>
        <v/>
      </c>
      <c r="C115" s="54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72"/>
      <c r="B116" s="2" t="str">
        <f>IFERROR(__xludf.DUMMYFUNCTION("""COMPUTED_VALUE"""),"")</f>
        <v/>
      </c>
      <c r="C116" s="54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72"/>
      <c r="B117" s="2" t="str">
        <f>IFERROR(__xludf.DUMMYFUNCTION("""COMPUTED_VALUE"""),"")</f>
        <v/>
      </c>
      <c r="C117" s="54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72"/>
      <c r="B118" s="2" t="str">
        <f>IFERROR(__xludf.DUMMYFUNCTION("""COMPUTED_VALUE"""),"")</f>
        <v/>
      </c>
      <c r="C118" s="54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72"/>
      <c r="B119" s="2" t="str">
        <f>IFERROR(__xludf.DUMMYFUNCTION("""COMPUTED_VALUE"""),"")</f>
        <v/>
      </c>
      <c r="C119" s="54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72"/>
      <c r="B120" s="2" t="str">
        <f>IFERROR(__xludf.DUMMYFUNCTION("""COMPUTED_VALUE"""),"")</f>
        <v/>
      </c>
      <c r="C120" s="54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72"/>
      <c r="B121" s="2" t="str">
        <f>IFERROR(__xludf.DUMMYFUNCTION("""COMPUTED_VALUE"""),"")</f>
        <v/>
      </c>
      <c r="C121" s="54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72"/>
      <c r="B122" s="2" t="str">
        <f>IFERROR(__xludf.DUMMYFUNCTION("""COMPUTED_VALUE"""),"")</f>
        <v/>
      </c>
      <c r="C122" s="54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72"/>
      <c r="B123" s="2" t="str">
        <f>IFERROR(__xludf.DUMMYFUNCTION("""COMPUTED_VALUE"""),"")</f>
        <v/>
      </c>
      <c r="C123" s="54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72"/>
      <c r="B124" s="2" t="str">
        <f>IFERROR(__xludf.DUMMYFUNCTION("""COMPUTED_VALUE"""),"")</f>
        <v/>
      </c>
      <c r="C124" s="54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72"/>
      <c r="B125" s="2" t="str">
        <f>IFERROR(__xludf.DUMMYFUNCTION("""COMPUTED_VALUE"""),"")</f>
        <v/>
      </c>
      <c r="C125" s="54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72"/>
      <c r="B126" s="2" t="str">
        <f>IFERROR(__xludf.DUMMYFUNCTION("""COMPUTED_VALUE"""),"")</f>
        <v/>
      </c>
      <c r="C126" s="54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72"/>
      <c r="B127" s="2" t="str">
        <f>IFERROR(__xludf.DUMMYFUNCTION("""COMPUTED_VALUE"""),"")</f>
        <v/>
      </c>
      <c r="C127" s="54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72"/>
      <c r="B128" s="2" t="str">
        <f>IFERROR(__xludf.DUMMYFUNCTION("""COMPUTED_VALUE"""),"")</f>
        <v/>
      </c>
      <c r="C128" s="54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72"/>
      <c r="B129" s="2" t="str">
        <f>IFERROR(__xludf.DUMMYFUNCTION("""COMPUTED_VALUE"""),"")</f>
        <v/>
      </c>
      <c r="C129" s="54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72"/>
      <c r="B130" s="2" t="str">
        <f>IFERROR(__xludf.DUMMYFUNCTION("""COMPUTED_VALUE"""),"")</f>
        <v/>
      </c>
      <c r="C130" s="54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72"/>
      <c r="B131" s="2" t="str">
        <f>IFERROR(__xludf.DUMMYFUNCTION("""COMPUTED_VALUE"""),"")</f>
        <v/>
      </c>
      <c r="C131" s="54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72"/>
      <c r="B132" s="2" t="str">
        <f>IFERROR(__xludf.DUMMYFUNCTION("""COMPUTED_VALUE"""),"")</f>
        <v/>
      </c>
      <c r="C132" s="54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72"/>
      <c r="B133" s="2" t="str">
        <f>IFERROR(__xludf.DUMMYFUNCTION("""COMPUTED_VALUE"""),"")</f>
        <v/>
      </c>
      <c r="C133" s="54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72"/>
      <c r="B134" s="2" t="str">
        <f>IFERROR(__xludf.DUMMYFUNCTION("""COMPUTED_VALUE"""),"")</f>
        <v/>
      </c>
      <c r="C134" s="54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72"/>
      <c r="B135" s="2" t="str">
        <f>IFERROR(__xludf.DUMMYFUNCTION("""COMPUTED_VALUE"""),"")</f>
        <v/>
      </c>
      <c r="C135" s="54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72"/>
      <c r="B136" s="2" t="str">
        <f>IFERROR(__xludf.DUMMYFUNCTION("""COMPUTED_VALUE"""),"")</f>
        <v/>
      </c>
      <c r="C136" s="54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72"/>
      <c r="B137" s="2" t="str">
        <f>IFERROR(__xludf.DUMMYFUNCTION("""COMPUTED_VALUE"""),"")</f>
        <v/>
      </c>
      <c r="C137" s="54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2"/>
      <c r="B138" s="2" t="str">
        <f>IFERROR(__xludf.DUMMYFUNCTION("""COMPUTED_VALUE"""),"")</f>
        <v/>
      </c>
      <c r="C138" s="5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72"/>
      <c r="B139" s="2" t="str">
        <f>IFERROR(__xludf.DUMMYFUNCTION("""COMPUTED_VALUE"""),"")</f>
        <v/>
      </c>
      <c r="C139" s="5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72"/>
      <c r="B140" s="2" t="str">
        <f>IFERROR(__xludf.DUMMYFUNCTION("""COMPUTED_VALUE"""),"")</f>
        <v/>
      </c>
      <c r="C140" s="5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72"/>
      <c r="B141" s="2" t="str">
        <f>IFERROR(__xludf.DUMMYFUNCTION("""COMPUTED_VALUE"""),"")</f>
        <v/>
      </c>
      <c r="C141" s="5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72"/>
      <c r="B142" s="2" t="str">
        <f>IFERROR(__xludf.DUMMYFUNCTION("""COMPUTED_VALUE"""),"")</f>
        <v/>
      </c>
      <c r="C142" s="54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72"/>
      <c r="B143" s="2" t="str">
        <f>IFERROR(__xludf.DUMMYFUNCTION("""COMPUTED_VALUE"""),"")</f>
        <v/>
      </c>
      <c r="C143" s="54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72"/>
      <c r="B144" s="2" t="str">
        <f>IFERROR(__xludf.DUMMYFUNCTION("""COMPUTED_VALUE"""),"")</f>
        <v/>
      </c>
      <c r="C144" s="54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72"/>
      <c r="B145" s="2" t="str">
        <f>IFERROR(__xludf.DUMMYFUNCTION("""COMPUTED_VALUE"""),"")</f>
        <v/>
      </c>
      <c r="C145" s="54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72"/>
      <c r="B146" s="2" t="str">
        <f>IFERROR(__xludf.DUMMYFUNCTION("""COMPUTED_VALUE"""),"")</f>
        <v/>
      </c>
      <c r="C146" s="54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72"/>
      <c r="B147" s="2" t="str">
        <f>IFERROR(__xludf.DUMMYFUNCTION("""COMPUTED_VALUE"""),"")</f>
        <v/>
      </c>
      <c r="C147" s="54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72"/>
      <c r="B148" s="2" t="str">
        <f>IFERROR(__xludf.DUMMYFUNCTION("""COMPUTED_VALUE"""),"")</f>
        <v/>
      </c>
      <c r="C148" s="54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72"/>
      <c r="B149" s="2" t="str">
        <f>IFERROR(__xludf.DUMMYFUNCTION("""COMPUTED_VALUE"""),"")</f>
        <v/>
      </c>
      <c r="C149" s="54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72"/>
      <c r="B150" s="2" t="str">
        <f>IFERROR(__xludf.DUMMYFUNCTION("""COMPUTED_VALUE"""),"")</f>
        <v/>
      </c>
      <c r="C150" s="54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72"/>
      <c r="B151" s="2" t="str">
        <f>IFERROR(__xludf.DUMMYFUNCTION("""COMPUTED_VALUE"""),"")</f>
        <v/>
      </c>
      <c r="C151" s="54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72"/>
      <c r="B152" s="2" t="str">
        <f>IFERROR(__xludf.DUMMYFUNCTION("""COMPUTED_VALUE"""),"")</f>
        <v/>
      </c>
      <c r="C152" s="54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72"/>
      <c r="B153" s="2" t="str">
        <f>IFERROR(__xludf.DUMMYFUNCTION("""COMPUTED_VALUE"""),"")</f>
        <v/>
      </c>
      <c r="C153" s="54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72"/>
      <c r="B154" s="2" t="str">
        <f>IFERROR(__xludf.DUMMYFUNCTION("""COMPUTED_VALUE"""),"")</f>
        <v/>
      </c>
      <c r="C154" s="54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72"/>
      <c r="B155" s="2" t="str">
        <f>IFERROR(__xludf.DUMMYFUNCTION("""COMPUTED_VALUE"""),"")</f>
        <v/>
      </c>
      <c r="C155" s="54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72"/>
      <c r="B156" s="2" t="str">
        <f>IFERROR(__xludf.DUMMYFUNCTION("""COMPUTED_VALUE"""),"")</f>
        <v/>
      </c>
      <c r="C156" s="54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72"/>
      <c r="B157" s="2" t="str">
        <f>IFERROR(__xludf.DUMMYFUNCTION("""COMPUTED_VALUE"""),"")</f>
        <v/>
      </c>
      <c r="C157" s="54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72"/>
      <c r="B158" s="2" t="str">
        <f>IFERROR(__xludf.DUMMYFUNCTION("""COMPUTED_VALUE"""),"")</f>
        <v/>
      </c>
      <c r="C158" s="54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72"/>
      <c r="B159" s="2" t="str">
        <f>IFERROR(__xludf.DUMMYFUNCTION("""COMPUTED_VALUE"""),"")</f>
        <v/>
      </c>
      <c r="C159" s="54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72"/>
      <c r="B160" s="2" t="str">
        <f>IFERROR(__xludf.DUMMYFUNCTION("""COMPUTED_VALUE"""),"")</f>
        <v/>
      </c>
      <c r="C160" s="54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72"/>
      <c r="B161" s="2" t="str">
        <f>IFERROR(__xludf.DUMMYFUNCTION("""COMPUTED_VALUE"""),"")</f>
        <v/>
      </c>
      <c r="C161" s="54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72"/>
      <c r="B162" s="2" t="str">
        <f>IFERROR(__xludf.DUMMYFUNCTION("""COMPUTED_VALUE"""),"")</f>
        <v/>
      </c>
      <c r="C162" s="54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72"/>
      <c r="B163" s="2" t="str">
        <f>IFERROR(__xludf.DUMMYFUNCTION("""COMPUTED_VALUE"""),"")</f>
        <v/>
      </c>
      <c r="C163" s="54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72"/>
      <c r="B164" s="2" t="str">
        <f>IFERROR(__xludf.DUMMYFUNCTION("""COMPUTED_VALUE"""),"")</f>
        <v/>
      </c>
      <c r="C164" s="54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72"/>
      <c r="B165" s="2" t="str">
        <f>IFERROR(__xludf.DUMMYFUNCTION("""COMPUTED_VALUE"""),"")</f>
        <v/>
      </c>
      <c r="C165" s="54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72"/>
      <c r="B166" s="2" t="str">
        <f>IFERROR(__xludf.DUMMYFUNCTION("""COMPUTED_VALUE"""),"")</f>
        <v/>
      </c>
      <c r="C166" s="54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72"/>
      <c r="B167" s="2" t="str">
        <f>IFERROR(__xludf.DUMMYFUNCTION("""COMPUTED_VALUE"""),"")</f>
        <v/>
      </c>
      <c r="C167" s="54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72"/>
      <c r="B168" s="2" t="str">
        <f>IFERROR(__xludf.DUMMYFUNCTION("""COMPUTED_VALUE"""),"")</f>
        <v/>
      </c>
      <c r="C168" s="54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72"/>
      <c r="B169" s="2" t="str">
        <f>IFERROR(__xludf.DUMMYFUNCTION("""COMPUTED_VALUE"""),"")</f>
        <v/>
      </c>
      <c r="C169" s="54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72"/>
      <c r="B170" s="2" t="str">
        <f>IFERROR(__xludf.DUMMYFUNCTION("""COMPUTED_VALUE"""),"")</f>
        <v/>
      </c>
      <c r="C170" s="54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72"/>
      <c r="B171" s="2" t="str">
        <f>IFERROR(__xludf.DUMMYFUNCTION("""COMPUTED_VALUE"""),"")</f>
        <v/>
      </c>
      <c r="C171" s="54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72"/>
      <c r="B172" s="2" t="str">
        <f>IFERROR(__xludf.DUMMYFUNCTION("""COMPUTED_VALUE"""),"")</f>
        <v/>
      </c>
      <c r="C172" s="54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72"/>
      <c r="B173" s="2" t="str">
        <f>IFERROR(__xludf.DUMMYFUNCTION("""COMPUTED_VALUE"""),"")</f>
        <v/>
      </c>
      <c r="C173" s="54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72"/>
      <c r="B174" s="2" t="str">
        <f>IFERROR(__xludf.DUMMYFUNCTION("""COMPUTED_VALUE"""),"")</f>
        <v/>
      </c>
      <c r="C174" s="54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72"/>
      <c r="B175" s="2" t="str">
        <f>IFERROR(__xludf.DUMMYFUNCTION("""COMPUTED_VALUE"""),"")</f>
        <v/>
      </c>
      <c r="C175" s="54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72"/>
      <c r="B176" s="2" t="str">
        <f>IFERROR(__xludf.DUMMYFUNCTION("""COMPUTED_VALUE"""),"")</f>
        <v/>
      </c>
      <c r="C176" s="54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72"/>
      <c r="B177" s="2" t="str">
        <f>IFERROR(__xludf.DUMMYFUNCTION("""COMPUTED_VALUE"""),"")</f>
        <v/>
      </c>
      <c r="C177" s="54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72"/>
      <c r="B178" s="2" t="str">
        <f>IFERROR(__xludf.DUMMYFUNCTION("""COMPUTED_VALUE"""),"")</f>
        <v/>
      </c>
      <c r="C178" s="54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72"/>
      <c r="B179" s="2" t="str">
        <f>IFERROR(__xludf.DUMMYFUNCTION("""COMPUTED_VALUE"""),"")</f>
        <v/>
      </c>
      <c r="C179" s="54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72"/>
      <c r="B180" s="2" t="str">
        <f>IFERROR(__xludf.DUMMYFUNCTION("""COMPUTED_VALUE"""),"")</f>
        <v/>
      </c>
      <c r="C180" s="54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72"/>
      <c r="B181" s="2" t="str">
        <f>IFERROR(__xludf.DUMMYFUNCTION("""COMPUTED_VALUE"""),"")</f>
        <v/>
      </c>
      <c r="C181" s="54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72"/>
      <c r="B182" s="2" t="str">
        <f>IFERROR(__xludf.DUMMYFUNCTION("""COMPUTED_VALUE"""),"")</f>
        <v/>
      </c>
      <c r="C182" s="54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72"/>
      <c r="B183" s="2" t="str">
        <f>IFERROR(__xludf.DUMMYFUNCTION("""COMPUTED_VALUE"""),"")</f>
        <v/>
      </c>
      <c r="C183" s="54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72"/>
      <c r="B184" s="2" t="str">
        <f>IFERROR(__xludf.DUMMYFUNCTION("""COMPUTED_VALUE"""),"")</f>
        <v/>
      </c>
      <c r="C184" s="54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72"/>
      <c r="B185" s="2" t="str">
        <f>IFERROR(__xludf.DUMMYFUNCTION("""COMPUTED_VALUE"""),"")</f>
        <v/>
      </c>
      <c r="C185" s="54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72"/>
      <c r="B186" s="2" t="str">
        <f>IFERROR(__xludf.DUMMYFUNCTION("""COMPUTED_VALUE"""),"")</f>
        <v/>
      </c>
      <c r="C186" s="54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72"/>
      <c r="B187" s="2" t="str">
        <f>IFERROR(__xludf.DUMMYFUNCTION("""COMPUTED_VALUE"""),"")</f>
        <v/>
      </c>
      <c r="C187" s="54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72"/>
      <c r="B188" s="2" t="str">
        <f>IFERROR(__xludf.DUMMYFUNCTION("""COMPUTED_VALUE"""),"")</f>
        <v/>
      </c>
      <c r="C188" s="54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72"/>
      <c r="B189" s="2" t="str">
        <f>IFERROR(__xludf.DUMMYFUNCTION("""COMPUTED_VALUE"""),"")</f>
        <v/>
      </c>
      <c r="C189" s="54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72"/>
      <c r="B190" s="2" t="str">
        <f>IFERROR(__xludf.DUMMYFUNCTION("""COMPUTED_VALUE"""),"")</f>
        <v/>
      </c>
      <c r="C190" s="54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72"/>
      <c r="B191" s="2" t="str">
        <f>IFERROR(__xludf.DUMMYFUNCTION("""COMPUTED_VALUE"""),"")</f>
        <v/>
      </c>
      <c r="C191" s="54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72"/>
      <c r="B192" s="2" t="str">
        <f>IFERROR(__xludf.DUMMYFUNCTION("""COMPUTED_VALUE"""),"")</f>
        <v/>
      </c>
      <c r="C192" s="54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72"/>
      <c r="B193" s="2" t="str">
        <f>IFERROR(__xludf.DUMMYFUNCTION("""COMPUTED_VALUE"""),"")</f>
        <v/>
      </c>
      <c r="C193" s="54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72"/>
      <c r="B194" s="2" t="str">
        <f>IFERROR(__xludf.DUMMYFUNCTION("""COMPUTED_VALUE"""),"")</f>
        <v/>
      </c>
      <c r="C194" s="54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72"/>
      <c r="B195" s="2" t="str">
        <f>IFERROR(__xludf.DUMMYFUNCTION("""COMPUTED_VALUE"""),"")</f>
        <v/>
      </c>
      <c r="C195" s="54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72"/>
      <c r="B196" s="2" t="str">
        <f>IFERROR(__xludf.DUMMYFUNCTION("""COMPUTED_VALUE"""),"")</f>
        <v/>
      </c>
      <c r="C196" s="54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72"/>
      <c r="B197" s="2" t="str">
        <f>IFERROR(__xludf.DUMMYFUNCTION("""COMPUTED_VALUE"""),"")</f>
        <v/>
      </c>
      <c r="C197" s="54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72"/>
      <c r="B198" s="2" t="str">
        <f>IFERROR(__xludf.DUMMYFUNCTION("""COMPUTED_VALUE"""),"")</f>
        <v/>
      </c>
      <c r="C198" s="54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72"/>
      <c r="B199" s="2" t="str">
        <f>IFERROR(__xludf.DUMMYFUNCTION("""COMPUTED_VALUE"""),"")</f>
        <v/>
      </c>
      <c r="C199" s="54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72"/>
      <c r="B200" s="2" t="str">
        <f>IFERROR(__xludf.DUMMYFUNCTION("""COMPUTED_VALUE"""),"")</f>
        <v/>
      </c>
      <c r="C200" s="54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72"/>
      <c r="B201" s="2" t="str">
        <f>IFERROR(__xludf.DUMMYFUNCTION("""COMPUTED_VALUE"""),"")</f>
        <v/>
      </c>
      <c r="C201" s="54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72"/>
      <c r="B202" s="2" t="str">
        <f>IFERROR(__xludf.DUMMYFUNCTION("""COMPUTED_VALUE"""),"")</f>
        <v/>
      </c>
      <c r="C202" s="54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72"/>
      <c r="B203" s="2" t="str">
        <f>IFERROR(__xludf.DUMMYFUNCTION("""COMPUTED_VALUE"""),"")</f>
        <v/>
      </c>
      <c r="C203" s="54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72"/>
      <c r="B204" s="2" t="str">
        <f>IFERROR(__xludf.DUMMYFUNCTION("""COMPUTED_VALUE"""),"")</f>
        <v/>
      </c>
      <c r="C204" s="54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72"/>
      <c r="B205" s="2" t="str">
        <f>IFERROR(__xludf.DUMMYFUNCTION("""COMPUTED_VALUE"""),"")</f>
        <v/>
      </c>
      <c r="C205" s="54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72"/>
      <c r="B206" s="2" t="str">
        <f>IFERROR(__xludf.DUMMYFUNCTION("""COMPUTED_VALUE"""),"")</f>
        <v/>
      </c>
      <c r="C206" s="54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72"/>
      <c r="B207" s="2" t="str">
        <f>IFERROR(__xludf.DUMMYFUNCTION("""COMPUTED_VALUE"""),"")</f>
        <v/>
      </c>
      <c r="C207" s="54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72"/>
      <c r="B208" s="2" t="str">
        <f>IFERROR(__xludf.DUMMYFUNCTION("""COMPUTED_VALUE"""),"")</f>
        <v/>
      </c>
      <c r="C208" s="54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72"/>
      <c r="B209" s="2" t="str">
        <f>IFERROR(__xludf.DUMMYFUNCTION("""COMPUTED_VALUE"""),"")</f>
        <v/>
      </c>
      <c r="C209" s="54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72"/>
      <c r="B210" s="2" t="str">
        <f>IFERROR(__xludf.DUMMYFUNCTION("""COMPUTED_VALUE"""),"")</f>
        <v/>
      </c>
      <c r="C210" s="54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72"/>
      <c r="B211" s="2" t="str">
        <f>IFERROR(__xludf.DUMMYFUNCTION("""COMPUTED_VALUE"""),"")</f>
        <v/>
      </c>
      <c r="C211" s="54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72"/>
      <c r="B212" s="2" t="str">
        <f>IFERROR(__xludf.DUMMYFUNCTION("""COMPUTED_VALUE"""),"")</f>
        <v/>
      </c>
      <c r="C212" s="54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72"/>
      <c r="B213" s="2" t="str">
        <f>IFERROR(__xludf.DUMMYFUNCTION("""COMPUTED_VALUE"""),"")</f>
        <v/>
      </c>
      <c r="C213" s="54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72"/>
      <c r="B214" s="2" t="str">
        <f>IFERROR(__xludf.DUMMYFUNCTION("""COMPUTED_VALUE"""),"")</f>
        <v/>
      </c>
      <c r="C214" s="54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72"/>
      <c r="B215" s="2" t="str">
        <f>IFERROR(__xludf.DUMMYFUNCTION("""COMPUTED_VALUE"""),"")</f>
        <v/>
      </c>
      <c r="C215" s="54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72"/>
      <c r="B216" s="2" t="str">
        <f>IFERROR(__xludf.DUMMYFUNCTION("""COMPUTED_VALUE"""),"")</f>
        <v/>
      </c>
      <c r="C216" s="54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72"/>
      <c r="B217" s="2" t="str">
        <f>IFERROR(__xludf.DUMMYFUNCTION("""COMPUTED_VALUE"""),"")</f>
        <v/>
      </c>
      <c r="C217" s="54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72"/>
      <c r="B218" s="2" t="str">
        <f>IFERROR(__xludf.DUMMYFUNCTION("""COMPUTED_VALUE"""),"")</f>
        <v/>
      </c>
      <c r="C218" s="54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72"/>
      <c r="B219" s="2" t="str">
        <f>IFERROR(__xludf.DUMMYFUNCTION("""COMPUTED_VALUE"""),"")</f>
        <v/>
      </c>
      <c r="C219" s="54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72"/>
      <c r="B220" s="2" t="str">
        <f>IFERROR(__xludf.DUMMYFUNCTION("""COMPUTED_VALUE"""),"")</f>
        <v/>
      </c>
      <c r="C220" s="54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72"/>
      <c r="B221" s="2" t="str">
        <f>IFERROR(__xludf.DUMMYFUNCTION("""COMPUTED_VALUE"""),"")</f>
        <v/>
      </c>
      <c r="C221" s="54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72"/>
      <c r="B222" s="2" t="str">
        <f>IFERROR(__xludf.DUMMYFUNCTION("""COMPUTED_VALUE"""),"")</f>
        <v/>
      </c>
      <c r="C222" s="54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72"/>
      <c r="B223" s="2" t="str">
        <f>IFERROR(__xludf.DUMMYFUNCTION("""COMPUTED_VALUE"""),"")</f>
        <v/>
      </c>
      <c r="C223" s="54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72"/>
      <c r="B224" s="2" t="str">
        <f>IFERROR(__xludf.DUMMYFUNCTION("""COMPUTED_VALUE"""),"")</f>
        <v/>
      </c>
      <c r="C224" s="54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72"/>
      <c r="B225" s="2" t="str">
        <f>IFERROR(__xludf.DUMMYFUNCTION("""COMPUTED_VALUE"""),"")</f>
        <v/>
      </c>
      <c r="C225" s="54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72"/>
      <c r="B226" s="2" t="str">
        <f>IFERROR(__xludf.DUMMYFUNCTION("""COMPUTED_VALUE"""),"")</f>
        <v/>
      </c>
      <c r="C226" s="54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72"/>
      <c r="B227" s="2" t="str">
        <f>IFERROR(__xludf.DUMMYFUNCTION("""COMPUTED_VALUE"""),"")</f>
        <v/>
      </c>
      <c r="C227" s="54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72"/>
      <c r="B228" s="2" t="str">
        <f>IFERROR(__xludf.DUMMYFUNCTION("""COMPUTED_VALUE"""),"")</f>
        <v/>
      </c>
      <c r="C228" s="54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72"/>
      <c r="B229" s="2" t="str">
        <f>IFERROR(__xludf.DUMMYFUNCTION("""COMPUTED_VALUE"""),"")</f>
        <v/>
      </c>
      <c r="C229" s="54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72"/>
      <c r="B230" s="2" t="str">
        <f>IFERROR(__xludf.DUMMYFUNCTION("""COMPUTED_VALUE"""),"")</f>
        <v/>
      </c>
      <c r="C230" s="54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72"/>
      <c r="B231" s="2" t="str">
        <f>IFERROR(__xludf.DUMMYFUNCTION("""COMPUTED_VALUE"""),"")</f>
        <v/>
      </c>
      <c r="C231" s="54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72"/>
      <c r="B232" s="2" t="str">
        <f>IFERROR(__xludf.DUMMYFUNCTION("""COMPUTED_VALUE"""),"")</f>
        <v/>
      </c>
      <c r="C232" s="54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72"/>
      <c r="B233" s="2" t="str">
        <f>IFERROR(__xludf.DUMMYFUNCTION("""COMPUTED_VALUE"""),"")</f>
        <v/>
      </c>
      <c r="C233" s="54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72"/>
      <c r="B234" s="2" t="str">
        <f>IFERROR(__xludf.DUMMYFUNCTION("""COMPUTED_VALUE"""),"")</f>
        <v/>
      </c>
      <c r="C234" s="54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72"/>
      <c r="B235" s="2" t="str">
        <f>IFERROR(__xludf.DUMMYFUNCTION("""COMPUTED_VALUE"""),"")</f>
        <v/>
      </c>
      <c r="C235" s="54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72"/>
      <c r="B236" s="2" t="str">
        <f>IFERROR(__xludf.DUMMYFUNCTION("""COMPUTED_VALUE"""),"")</f>
        <v/>
      </c>
      <c r="C236" s="54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72"/>
      <c r="B237" s="2" t="str">
        <f>IFERROR(__xludf.DUMMYFUNCTION("""COMPUTED_VALUE"""),"")</f>
        <v/>
      </c>
      <c r="C237" s="54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72"/>
      <c r="B238" s="2" t="str">
        <f>IFERROR(__xludf.DUMMYFUNCTION("""COMPUTED_VALUE"""),"")</f>
        <v/>
      </c>
      <c r="C238" s="54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72"/>
      <c r="B239" s="2" t="str">
        <f>IFERROR(__xludf.DUMMYFUNCTION("""COMPUTED_VALUE"""),"")</f>
        <v/>
      </c>
      <c r="C239" s="54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72"/>
      <c r="B240" s="2" t="str">
        <f>IFERROR(__xludf.DUMMYFUNCTION("""COMPUTED_VALUE"""),"")</f>
        <v/>
      </c>
      <c r="C240" s="54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72"/>
      <c r="B241" s="2" t="str">
        <f>IFERROR(__xludf.DUMMYFUNCTION("""COMPUTED_VALUE"""),"")</f>
        <v/>
      </c>
      <c r="C241" s="54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72"/>
      <c r="B242" s="2" t="str">
        <f>IFERROR(__xludf.DUMMYFUNCTION("""COMPUTED_VALUE"""),"")</f>
        <v/>
      </c>
      <c r="C242" s="54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72"/>
      <c r="B243" s="2" t="str">
        <f>IFERROR(__xludf.DUMMYFUNCTION("""COMPUTED_VALUE"""),"")</f>
        <v/>
      </c>
      <c r="C243" s="54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72"/>
      <c r="B244" s="2" t="str">
        <f>IFERROR(__xludf.DUMMYFUNCTION("""COMPUTED_VALUE"""),"")</f>
        <v/>
      </c>
      <c r="C244" s="54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72"/>
      <c r="B245" s="2" t="str">
        <f>IFERROR(__xludf.DUMMYFUNCTION("""COMPUTED_VALUE"""),"")</f>
        <v/>
      </c>
      <c r="C245" s="54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72"/>
      <c r="B246" s="2" t="str">
        <f>IFERROR(__xludf.DUMMYFUNCTION("""COMPUTED_VALUE"""),"")</f>
        <v/>
      </c>
      <c r="C246" s="54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72"/>
      <c r="B247" s="2" t="str">
        <f>IFERROR(__xludf.DUMMYFUNCTION("""COMPUTED_VALUE"""),"")</f>
        <v/>
      </c>
      <c r="C247" s="54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72"/>
      <c r="B248" s="2" t="str">
        <f>IFERROR(__xludf.DUMMYFUNCTION("""COMPUTED_VALUE"""),"")</f>
        <v/>
      </c>
      <c r="C248" s="54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72"/>
      <c r="B249" s="2" t="str">
        <f>IFERROR(__xludf.DUMMYFUNCTION("""COMPUTED_VALUE"""),"")</f>
        <v/>
      </c>
      <c r="C249" s="54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72"/>
      <c r="B250" s="2" t="str">
        <f>IFERROR(__xludf.DUMMYFUNCTION("""COMPUTED_VALUE"""),"")</f>
        <v/>
      </c>
      <c r="C250" s="54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72"/>
      <c r="B251" s="2" t="str">
        <f>IFERROR(__xludf.DUMMYFUNCTION("""COMPUTED_VALUE"""),"")</f>
        <v/>
      </c>
      <c r="C251" s="54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72"/>
      <c r="B252" s="2" t="str">
        <f>IFERROR(__xludf.DUMMYFUNCTION("""COMPUTED_VALUE"""),"")</f>
        <v/>
      </c>
      <c r="C252" s="54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72"/>
      <c r="B253" s="2" t="str">
        <f>IFERROR(__xludf.DUMMYFUNCTION("""COMPUTED_VALUE"""),"")</f>
        <v/>
      </c>
      <c r="C253" s="54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72"/>
      <c r="B254" s="2" t="str">
        <f>IFERROR(__xludf.DUMMYFUNCTION("""COMPUTED_VALUE"""),"")</f>
        <v/>
      </c>
      <c r="C254" s="54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72"/>
      <c r="B255" s="2" t="str">
        <f>IFERROR(__xludf.DUMMYFUNCTION("""COMPUTED_VALUE"""),"")</f>
        <v/>
      </c>
      <c r="C255" s="54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72"/>
      <c r="B256" s="2" t="str">
        <f>IFERROR(__xludf.DUMMYFUNCTION("""COMPUTED_VALUE"""),"")</f>
        <v/>
      </c>
      <c r="C256" s="54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72"/>
      <c r="B257" s="2" t="str">
        <f>IFERROR(__xludf.DUMMYFUNCTION("""COMPUTED_VALUE"""),"")</f>
        <v/>
      </c>
      <c r="C257" s="54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72"/>
      <c r="B258" s="2" t="str">
        <f>IFERROR(__xludf.DUMMYFUNCTION("""COMPUTED_VALUE"""),"")</f>
        <v/>
      </c>
      <c r="C258" s="54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72"/>
      <c r="B259" s="2" t="str">
        <f>IFERROR(__xludf.DUMMYFUNCTION("""COMPUTED_VALUE"""),"")</f>
        <v/>
      </c>
      <c r="C259" s="54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72"/>
      <c r="B260" s="2" t="str">
        <f>IFERROR(__xludf.DUMMYFUNCTION("""COMPUTED_VALUE"""),"")</f>
        <v/>
      </c>
      <c r="C260" s="54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72"/>
      <c r="B261" s="2" t="str">
        <f>IFERROR(__xludf.DUMMYFUNCTION("""COMPUTED_VALUE"""),"")</f>
        <v/>
      </c>
      <c r="C261" s="54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72"/>
      <c r="B262" s="2" t="str">
        <f>IFERROR(__xludf.DUMMYFUNCTION("""COMPUTED_VALUE"""),"")</f>
        <v/>
      </c>
      <c r="C262" s="54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72"/>
      <c r="B263" s="2" t="str">
        <f>IFERROR(__xludf.DUMMYFUNCTION("""COMPUTED_VALUE"""),"")</f>
        <v/>
      </c>
      <c r="C263" s="54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72"/>
      <c r="B264" s="2" t="str">
        <f>IFERROR(__xludf.DUMMYFUNCTION("""COMPUTED_VALUE"""),"")</f>
        <v/>
      </c>
      <c r="C264" s="54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72"/>
      <c r="B265" s="2" t="str">
        <f>IFERROR(__xludf.DUMMYFUNCTION("""COMPUTED_VALUE"""),"")</f>
        <v/>
      </c>
      <c r="C265" s="54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72"/>
      <c r="B266" s="2" t="str">
        <f>IFERROR(__xludf.DUMMYFUNCTION("""COMPUTED_VALUE"""),"")</f>
        <v/>
      </c>
      <c r="C266" s="54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72"/>
      <c r="B267" s="2" t="str">
        <f>IFERROR(__xludf.DUMMYFUNCTION("""COMPUTED_VALUE"""),"")</f>
        <v/>
      </c>
      <c r="C267" s="54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72"/>
      <c r="B268" s="2" t="str">
        <f>IFERROR(__xludf.DUMMYFUNCTION("""COMPUTED_VALUE"""),"")</f>
        <v/>
      </c>
      <c r="C268" s="54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72"/>
      <c r="B269" s="2" t="str">
        <f>IFERROR(__xludf.DUMMYFUNCTION("""COMPUTED_VALUE"""),"")</f>
        <v/>
      </c>
      <c r="C269" s="54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72"/>
      <c r="B270" s="2" t="str">
        <f>IFERROR(__xludf.DUMMYFUNCTION("""COMPUTED_VALUE"""),"")</f>
        <v/>
      </c>
      <c r="C270" s="54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72"/>
      <c r="B271" s="2" t="str">
        <f>IFERROR(__xludf.DUMMYFUNCTION("""COMPUTED_VALUE"""),"")</f>
        <v/>
      </c>
      <c r="C271" s="54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72"/>
      <c r="B272" s="2" t="str">
        <f>IFERROR(__xludf.DUMMYFUNCTION("""COMPUTED_VALUE"""),"")</f>
        <v/>
      </c>
      <c r="C272" s="54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72"/>
      <c r="B273" s="2" t="str">
        <f>IFERROR(__xludf.DUMMYFUNCTION("""COMPUTED_VALUE"""),"")</f>
        <v/>
      </c>
      <c r="C273" s="54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72"/>
      <c r="B274" s="2" t="str">
        <f>IFERROR(__xludf.DUMMYFUNCTION("""COMPUTED_VALUE"""),"")</f>
        <v/>
      </c>
      <c r="C274" s="54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72"/>
      <c r="B275" s="2" t="str">
        <f>IFERROR(__xludf.DUMMYFUNCTION("""COMPUTED_VALUE"""),"")</f>
        <v/>
      </c>
      <c r="C275" s="54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72"/>
      <c r="B276" s="2" t="str">
        <f>IFERROR(__xludf.DUMMYFUNCTION("""COMPUTED_VALUE"""),"")</f>
        <v/>
      </c>
      <c r="C276" s="54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72"/>
      <c r="B277" s="2" t="str">
        <f>IFERROR(__xludf.DUMMYFUNCTION("""COMPUTED_VALUE"""),"")</f>
        <v/>
      </c>
      <c r="C277" s="54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72"/>
      <c r="B278" s="2" t="str">
        <f>IFERROR(__xludf.DUMMYFUNCTION("""COMPUTED_VALUE"""),"")</f>
        <v/>
      </c>
      <c r="C278" s="54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72"/>
      <c r="B279" s="2" t="str">
        <f>IFERROR(__xludf.DUMMYFUNCTION("""COMPUTED_VALUE"""),"")</f>
        <v/>
      </c>
      <c r="C279" s="54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72"/>
      <c r="B280" s="2" t="str">
        <f>IFERROR(__xludf.DUMMYFUNCTION("""COMPUTED_VALUE"""),"")</f>
        <v/>
      </c>
      <c r="C280" s="54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72"/>
      <c r="B281" s="2" t="str">
        <f>IFERROR(__xludf.DUMMYFUNCTION("""COMPUTED_VALUE"""),"")</f>
        <v/>
      </c>
      <c r="C281" s="54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72"/>
      <c r="B282" s="2" t="str">
        <f>IFERROR(__xludf.DUMMYFUNCTION("""COMPUTED_VALUE"""),"")</f>
        <v/>
      </c>
      <c r="C282" s="54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72"/>
      <c r="B283" s="2" t="str">
        <f>IFERROR(__xludf.DUMMYFUNCTION("""COMPUTED_VALUE"""),"")</f>
        <v/>
      </c>
      <c r="C283" s="54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72"/>
      <c r="B284" s="2" t="str">
        <f>IFERROR(__xludf.DUMMYFUNCTION("""COMPUTED_VALUE"""),"")</f>
        <v/>
      </c>
      <c r="C284" s="54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72"/>
      <c r="B285" s="2" t="str">
        <f>IFERROR(__xludf.DUMMYFUNCTION("""COMPUTED_VALUE"""),"")</f>
        <v/>
      </c>
      <c r="C285" s="54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72"/>
      <c r="B286" s="2" t="str">
        <f>IFERROR(__xludf.DUMMYFUNCTION("""COMPUTED_VALUE"""),"")</f>
        <v/>
      </c>
      <c r="C286" s="54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72"/>
      <c r="B287" s="2" t="str">
        <f>IFERROR(__xludf.DUMMYFUNCTION("""COMPUTED_VALUE"""),"")</f>
        <v/>
      </c>
      <c r="C287" s="54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72"/>
      <c r="B288" s="2" t="str">
        <f>IFERROR(__xludf.DUMMYFUNCTION("""COMPUTED_VALUE"""),"")</f>
        <v/>
      </c>
      <c r="C288" s="54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72"/>
      <c r="B289" s="2" t="str">
        <f>IFERROR(__xludf.DUMMYFUNCTION("""COMPUTED_VALUE"""),"")</f>
        <v/>
      </c>
      <c r="C289" s="54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72"/>
      <c r="B290" s="2" t="str">
        <f>IFERROR(__xludf.DUMMYFUNCTION("""COMPUTED_VALUE"""),"")</f>
        <v/>
      </c>
      <c r="C290" s="54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72"/>
      <c r="B291" s="2" t="str">
        <f>IFERROR(__xludf.DUMMYFUNCTION("""COMPUTED_VALUE"""),"")</f>
        <v/>
      </c>
      <c r="C291" s="54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72"/>
      <c r="B292" s="2" t="str">
        <f>IFERROR(__xludf.DUMMYFUNCTION("""COMPUTED_VALUE"""),"")</f>
        <v/>
      </c>
      <c r="C292" s="54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72"/>
      <c r="B293" s="2" t="str">
        <f>IFERROR(__xludf.DUMMYFUNCTION("""COMPUTED_VALUE"""),"")</f>
        <v/>
      </c>
      <c r="C293" s="54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72"/>
      <c r="B294" s="2" t="str">
        <f>IFERROR(__xludf.DUMMYFUNCTION("""COMPUTED_VALUE"""),"")</f>
        <v/>
      </c>
      <c r="C294" s="54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72"/>
      <c r="B295" s="2" t="str">
        <f>IFERROR(__xludf.DUMMYFUNCTION("""COMPUTED_VALUE"""),"")</f>
        <v/>
      </c>
      <c r="C295" s="54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72"/>
      <c r="B296" s="2" t="str">
        <f>IFERROR(__xludf.DUMMYFUNCTION("""COMPUTED_VALUE"""),"")</f>
        <v/>
      </c>
      <c r="C296" s="54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72"/>
      <c r="B297" s="2" t="str">
        <f>IFERROR(__xludf.DUMMYFUNCTION("""COMPUTED_VALUE"""),"")</f>
        <v/>
      </c>
      <c r="C297" s="54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72"/>
      <c r="B298" s="2" t="str">
        <f>IFERROR(__xludf.DUMMYFUNCTION("""COMPUTED_VALUE"""),"")</f>
        <v/>
      </c>
      <c r="C298" s="54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72"/>
      <c r="B299" s="2" t="str">
        <f>IFERROR(__xludf.DUMMYFUNCTION("""COMPUTED_VALUE"""),"")</f>
        <v/>
      </c>
      <c r="C299" s="54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72"/>
      <c r="B300" s="2" t="str">
        <f>IFERROR(__xludf.DUMMYFUNCTION("""COMPUTED_VALUE"""),"")</f>
        <v/>
      </c>
      <c r="C300" s="54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72"/>
      <c r="B301" s="2" t="str">
        <f>IFERROR(__xludf.DUMMYFUNCTION("""COMPUTED_VALUE"""),"")</f>
        <v/>
      </c>
      <c r="C301" s="54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72"/>
      <c r="B302" s="2" t="str">
        <f>IFERROR(__xludf.DUMMYFUNCTION("""COMPUTED_VALUE"""),"")</f>
        <v/>
      </c>
      <c r="C302" s="54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72"/>
      <c r="B303" s="2" t="str">
        <f>IFERROR(__xludf.DUMMYFUNCTION("""COMPUTED_VALUE"""),"")</f>
        <v/>
      </c>
      <c r="C303" s="54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72"/>
      <c r="B304" s="2" t="str">
        <f>IFERROR(__xludf.DUMMYFUNCTION("""COMPUTED_VALUE"""),"")</f>
        <v/>
      </c>
      <c r="C304" s="54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72"/>
      <c r="B305" s="2" t="str">
        <f>IFERROR(__xludf.DUMMYFUNCTION("""COMPUTED_VALUE"""),"")</f>
        <v/>
      </c>
      <c r="C305" s="54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72"/>
      <c r="B306" s="2" t="str">
        <f>IFERROR(__xludf.DUMMYFUNCTION("""COMPUTED_VALUE"""),"")</f>
        <v/>
      </c>
      <c r="C306" s="54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72"/>
      <c r="B307" s="2" t="str">
        <f>IFERROR(__xludf.DUMMYFUNCTION("""COMPUTED_VALUE"""),"")</f>
        <v/>
      </c>
      <c r="C307" s="54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72"/>
      <c r="B308" s="2" t="str">
        <f>IFERROR(__xludf.DUMMYFUNCTION("""COMPUTED_VALUE"""),"")</f>
        <v/>
      </c>
      <c r="C308" s="54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72"/>
      <c r="B309" s="2" t="str">
        <f>IFERROR(__xludf.DUMMYFUNCTION("""COMPUTED_VALUE"""),"")</f>
        <v/>
      </c>
      <c r="C309" s="54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72"/>
      <c r="B310" s="2" t="str">
        <f>IFERROR(__xludf.DUMMYFUNCTION("""COMPUTED_VALUE"""),"")</f>
        <v/>
      </c>
      <c r="C310" s="54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72"/>
      <c r="B311" s="2" t="str">
        <f>IFERROR(__xludf.DUMMYFUNCTION("""COMPUTED_VALUE"""),"")</f>
        <v/>
      </c>
      <c r="C311" s="54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72"/>
      <c r="B312" s="2" t="str">
        <f>IFERROR(__xludf.DUMMYFUNCTION("""COMPUTED_VALUE"""),"")</f>
        <v/>
      </c>
      <c r="C312" s="54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72"/>
      <c r="B313" s="2" t="str">
        <f>IFERROR(__xludf.DUMMYFUNCTION("""COMPUTED_VALUE"""),"")</f>
        <v/>
      </c>
      <c r="C313" s="54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72"/>
      <c r="B314" s="2" t="str">
        <f>IFERROR(__xludf.DUMMYFUNCTION("""COMPUTED_VALUE"""),"")</f>
        <v/>
      </c>
      <c r="C314" s="54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72"/>
      <c r="B315" s="2" t="str">
        <f>IFERROR(__xludf.DUMMYFUNCTION("""COMPUTED_VALUE"""),"")</f>
        <v/>
      </c>
      <c r="C315" s="54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72"/>
      <c r="B316" s="2" t="str">
        <f>IFERROR(__xludf.DUMMYFUNCTION("""COMPUTED_VALUE"""),"")</f>
        <v/>
      </c>
      <c r="C316" s="54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72"/>
      <c r="B317" s="2" t="str">
        <f>IFERROR(__xludf.DUMMYFUNCTION("""COMPUTED_VALUE"""),"")</f>
        <v/>
      </c>
      <c r="C317" s="54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72"/>
      <c r="B318" s="2" t="str">
        <f>IFERROR(__xludf.DUMMYFUNCTION("""COMPUTED_VALUE"""),"")</f>
        <v/>
      </c>
      <c r="C318" s="54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72"/>
      <c r="B319" s="2" t="str">
        <f>IFERROR(__xludf.DUMMYFUNCTION("""COMPUTED_VALUE"""),"")</f>
        <v/>
      </c>
      <c r="C319" s="54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72"/>
      <c r="B320" s="2" t="str">
        <f>IFERROR(__xludf.DUMMYFUNCTION("""COMPUTED_VALUE"""),"")</f>
        <v/>
      </c>
      <c r="C320" s="54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72"/>
      <c r="B321" s="2" t="str">
        <f>IFERROR(__xludf.DUMMYFUNCTION("""COMPUTED_VALUE"""),"")</f>
        <v/>
      </c>
      <c r="C321" s="54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72"/>
      <c r="B322" s="2" t="str">
        <f>IFERROR(__xludf.DUMMYFUNCTION("""COMPUTED_VALUE"""),"")</f>
        <v/>
      </c>
      <c r="C322" s="54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72"/>
      <c r="B323" s="2" t="str">
        <f>IFERROR(__xludf.DUMMYFUNCTION("""COMPUTED_VALUE"""),"")</f>
        <v/>
      </c>
      <c r="C323" s="54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72"/>
      <c r="B324" s="2" t="str">
        <f>IFERROR(__xludf.DUMMYFUNCTION("""COMPUTED_VALUE"""),"")</f>
        <v/>
      </c>
      <c r="C324" s="54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72"/>
      <c r="B325" s="2" t="str">
        <f>IFERROR(__xludf.DUMMYFUNCTION("""COMPUTED_VALUE"""),"")</f>
        <v/>
      </c>
      <c r="C325" s="54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72"/>
      <c r="B326" s="2" t="str">
        <f>IFERROR(__xludf.DUMMYFUNCTION("""COMPUTED_VALUE"""),"")</f>
        <v/>
      </c>
      <c r="C326" s="54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72"/>
      <c r="B327" s="2" t="str">
        <f>IFERROR(__xludf.DUMMYFUNCTION("""COMPUTED_VALUE"""),"")</f>
        <v/>
      </c>
      <c r="C327" s="54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72"/>
      <c r="B328" s="2" t="str">
        <f>IFERROR(__xludf.DUMMYFUNCTION("""COMPUTED_VALUE"""),"")</f>
        <v/>
      </c>
      <c r="C328" s="54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72"/>
      <c r="B329" s="2" t="str">
        <f>IFERROR(__xludf.DUMMYFUNCTION("""COMPUTED_VALUE"""),"")</f>
        <v/>
      </c>
      <c r="C329" s="54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72"/>
      <c r="B330" s="2" t="str">
        <f>IFERROR(__xludf.DUMMYFUNCTION("""COMPUTED_VALUE"""),"")</f>
        <v/>
      </c>
      <c r="C330" s="54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72"/>
      <c r="B331" s="2" t="str">
        <f>IFERROR(__xludf.DUMMYFUNCTION("""COMPUTED_VALUE"""),"")</f>
        <v/>
      </c>
      <c r="C331" s="54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72"/>
      <c r="B332" s="2" t="str">
        <f>IFERROR(__xludf.DUMMYFUNCTION("""COMPUTED_VALUE"""),"")</f>
        <v/>
      </c>
      <c r="C332" s="54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72"/>
      <c r="B333" s="2" t="str">
        <f>IFERROR(__xludf.DUMMYFUNCTION("""COMPUTED_VALUE"""),"")</f>
        <v/>
      </c>
      <c r="C333" s="54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72"/>
      <c r="B334" s="2" t="str">
        <f>IFERROR(__xludf.DUMMYFUNCTION("""COMPUTED_VALUE"""),"")</f>
        <v/>
      </c>
      <c r="C334" s="54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72"/>
      <c r="B335" s="2" t="str">
        <f>IFERROR(__xludf.DUMMYFUNCTION("""COMPUTED_VALUE"""),"")</f>
        <v/>
      </c>
      <c r="C335" s="54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72"/>
      <c r="B336" s="2" t="str">
        <f>IFERROR(__xludf.DUMMYFUNCTION("""COMPUTED_VALUE"""),"")</f>
        <v/>
      </c>
      <c r="C336" s="54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72"/>
      <c r="B337" s="2" t="str">
        <f>IFERROR(__xludf.DUMMYFUNCTION("""COMPUTED_VALUE"""),"")</f>
        <v/>
      </c>
      <c r="C337" s="54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72"/>
      <c r="B338" s="2" t="str">
        <f>IFERROR(__xludf.DUMMYFUNCTION("""COMPUTED_VALUE"""),"")</f>
        <v/>
      </c>
      <c r="C338" s="54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72"/>
      <c r="B339" s="2" t="str">
        <f>IFERROR(__xludf.DUMMYFUNCTION("""COMPUTED_VALUE"""),"")</f>
        <v/>
      </c>
      <c r="C339" s="54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72"/>
      <c r="B340" s="2" t="str">
        <f>IFERROR(__xludf.DUMMYFUNCTION("""COMPUTED_VALUE"""),"")</f>
        <v/>
      </c>
      <c r="C340" s="54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72"/>
      <c r="B341" s="2" t="str">
        <f>IFERROR(__xludf.DUMMYFUNCTION("""COMPUTED_VALUE"""),"")</f>
        <v/>
      </c>
      <c r="C341" s="54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72"/>
      <c r="B342" s="2" t="str">
        <f>IFERROR(__xludf.DUMMYFUNCTION("""COMPUTED_VALUE"""),"")</f>
        <v/>
      </c>
      <c r="C342" s="54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72"/>
      <c r="B343" s="2" t="str">
        <f>IFERROR(__xludf.DUMMYFUNCTION("""COMPUTED_VALUE"""),"")</f>
        <v/>
      </c>
      <c r="C343" s="54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72"/>
      <c r="B344" s="2" t="str">
        <f>IFERROR(__xludf.DUMMYFUNCTION("""COMPUTED_VALUE"""),"")</f>
        <v/>
      </c>
      <c r="C344" s="54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72"/>
      <c r="B345" s="2" t="str">
        <f>IFERROR(__xludf.DUMMYFUNCTION("""COMPUTED_VALUE"""),"")</f>
        <v/>
      </c>
      <c r="C345" s="54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72"/>
      <c r="B346" s="2" t="str">
        <f>IFERROR(__xludf.DUMMYFUNCTION("""COMPUTED_VALUE"""),"")</f>
        <v/>
      </c>
      <c r="C346" s="54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72"/>
      <c r="B347" s="2" t="str">
        <f>IFERROR(__xludf.DUMMYFUNCTION("""COMPUTED_VALUE"""),"")</f>
        <v/>
      </c>
      <c r="C347" s="54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72"/>
      <c r="B348" s="2" t="str">
        <f>IFERROR(__xludf.DUMMYFUNCTION("""COMPUTED_VALUE"""),"")</f>
        <v/>
      </c>
      <c r="C348" s="54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72"/>
      <c r="B349" s="2" t="str">
        <f>IFERROR(__xludf.DUMMYFUNCTION("""COMPUTED_VALUE"""),"")</f>
        <v/>
      </c>
      <c r="C349" s="54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72"/>
      <c r="B350" s="2" t="str">
        <f>IFERROR(__xludf.DUMMYFUNCTION("""COMPUTED_VALUE"""),"")</f>
        <v/>
      </c>
      <c r="C350" s="54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72"/>
      <c r="B351" s="2" t="str">
        <f>IFERROR(__xludf.DUMMYFUNCTION("""COMPUTED_VALUE"""),"")</f>
        <v/>
      </c>
      <c r="C351" s="54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72"/>
      <c r="B352" s="2" t="str">
        <f>IFERROR(__xludf.DUMMYFUNCTION("""COMPUTED_VALUE"""),"")</f>
        <v/>
      </c>
      <c r="C352" s="54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72"/>
      <c r="B353" s="2" t="str">
        <f>IFERROR(__xludf.DUMMYFUNCTION("""COMPUTED_VALUE"""),"")</f>
        <v/>
      </c>
      <c r="C353" s="54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72"/>
      <c r="B354" s="2" t="str">
        <f>IFERROR(__xludf.DUMMYFUNCTION("""COMPUTED_VALUE"""),"")</f>
        <v/>
      </c>
      <c r="C354" s="54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72"/>
      <c r="B355" s="2" t="str">
        <f>IFERROR(__xludf.DUMMYFUNCTION("""COMPUTED_VALUE"""),"")</f>
        <v/>
      </c>
      <c r="C355" s="54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72"/>
      <c r="B356" s="2" t="str">
        <f>IFERROR(__xludf.DUMMYFUNCTION("""COMPUTED_VALUE"""),"")</f>
        <v/>
      </c>
      <c r="C356" s="54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72"/>
      <c r="B357" s="2" t="str">
        <f>IFERROR(__xludf.DUMMYFUNCTION("""COMPUTED_VALUE"""),"")</f>
        <v/>
      </c>
      <c r="C357" s="54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72"/>
      <c r="B358" s="2" t="str">
        <f>IFERROR(__xludf.DUMMYFUNCTION("""COMPUTED_VALUE"""),"")</f>
        <v/>
      </c>
      <c r="C358" s="54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72"/>
      <c r="B359" s="2" t="str">
        <f>IFERROR(__xludf.DUMMYFUNCTION("""COMPUTED_VALUE"""),"")</f>
        <v/>
      </c>
      <c r="C359" s="54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72"/>
      <c r="B360" s="2" t="str">
        <f>IFERROR(__xludf.DUMMYFUNCTION("""COMPUTED_VALUE"""),"")</f>
        <v/>
      </c>
      <c r="C360" s="54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72"/>
      <c r="B361" s="2" t="str">
        <f>IFERROR(__xludf.DUMMYFUNCTION("""COMPUTED_VALUE"""),"")</f>
        <v/>
      </c>
      <c r="C361" s="54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72"/>
      <c r="B362" s="2" t="str">
        <f>IFERROR(__xludf.DUMMYFUNCTION("""COMPUTED_VALUE"""),"")</f>
        <v/>
      </c>
      <c r="C362" s="54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72"/>
      <c r="B363" s="2" t="str">
        <f>IFERROR(__xludf.DUMMYFUNCTION("""COMPUTED_VALUE"""),"")</f>
        <v/>
      </c>
      <c r="C363" s="54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72"/>
      <c r="B364" s="2" t="str">
        <f>IFERROR(__xludf.DUMMYFUNCTION("""COMPUTED_VALUE"""),"")</f>
        <v/>
      </c>
      <c r="C364" s="54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72"/>
      <c r="B365" s="2" t="str">
        <f>IFERROR(__xludf.DUMMYFUNCTION("""COMPUTED_VALUE"""),"")</f>
        <v/>
      </c>
      <c r="C365" s="54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72"/>
      <c r="B366" s="2" t="str">
        <f>IFERROR(__xludf.DUMMYFUNCTION("""COMPUTED_VALUE"""),"")</f>
        <v/>
      </c>
      <c r="C366" s="54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72"/>
      <c r="B367" s="2" t="str">
        <f>IFERROR(__xludf.DUMMYFUNCTION("""COMPUTED_VALUE"""),"")</f>
        <v/>
      </c>
      <c r="C367" s="54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72"/>
      <c r="B368" s="2" t="str">
        <f>IFERROR(__xludf.DUMMYFUNCTION("""COMPUTED_VALUE"""),"")</f>
        <v/>
      </c>
      <c r="C368" s="54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72"/>
      <c r="B369" s="2" t="str">
        <f>IFERROR(__xludf.DUMMYFUNCTION("""COMPUTED_VALUE"""),"")</f>
        <v/>
      </c>
      <c r="C369" s="54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 t="str">
        <f>IFERROR(__xludf.DUMMYFUNCTION("""COMPUTED_VALUE"""),"")</f>
        <v/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 t="str">
        <f>IFERROR(__xludf.DUMMYFUNCTION("""COMPUTED_VALUE"""),"")</f>
        <v/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 t="str">
        <f>IFERROR(__xludf.DUMMYFUNCTION("""COMPUTED_VALUE"""),"")</f>
        <v/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 t="str">
        <f>IFERROR(__xludf.DUMMYFUNCTION("""COMPUTED_VALUE"""),"")</f>
        <v/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 t="str">
        <f>IFERROR(__xludf.DUMMYFUNCTION("""COMPUTED_VALUE"""),"")</f>
        <v/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 t="str">
        <f>IFERROR(__xludf.DUMMYFUNCTION("""COMPUTED_VALUE"""),"")</f>
        <v/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 t="str">
        <f>IFERROR(__xludf.DUMMYFUNCTION("""COMPUTED_VALUE"""),"")</f>
        <v/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 t="str">
        <f>IFERROR(__xludf.DUMMYFUNCTION("""COMPUTED_VALUE"""),"")</f>
        <v/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 t="str">
        <f>IFERROR(__xludf.DUMMYFUNCTION("""COMPUTED_VALUE"""),"")</f>
        <v/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 t="str">
        <f>IFERROR(__xludf.DUMMYFUNCTION("""COMPUTED_VALUE"""),"")</f>
        <v/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 t="str">
        <f>IFERROR(__xludf.DUMMYFUNCTION("""COMPUTED_VALUE"""),"")</f>
        <v/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 t="str">
        <f>IFERROR(__xludf.DUMMYFUNCTION("""COMPUTED_VALUE"""),"")</f>
        <v/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 t="str">
        <f>IFERROR(__xludf.DUMMYFUNCTION("""COMPUTED_VALUE"""),"")</f>
        <v/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 t="str">
        <f>IFERROR(__xludf.DUMMYFUNCTION("""COMPUTED_VALUE"""),"")</f>
        <v/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 t="str">
        <f>IFERROR(__xludf.DUMMYFUNCTION("""COMPUTED_VALUE"""),"")</f>
        <v/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 t="str">
        <f>IFERROR(__xludf.DUMMYFUNCTION("""COMPUTED_VALUE"""),"")</f>
        <v/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 t="str">
        <f>IFERROR(__xludf.DUMMYFUNCTION("""COMPUTED_VALUE"""),"")</f>
        <v/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 t="str">
        <f>IFERROR(__xludf.DUMMYFUNCTION("""COMPUTED_VALUE"""),"")</f>
        <v/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 t="str">
        <f>IFERROR(__xludf.DUMMYFUNCTION("""COMPUTED_VALUE"""),"")</f>
        <v/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 t="str">
        <f>IFERROR(__xludf.DUMMYFUNCTION("""COMPUTED_VALUE"""),"")</f>
        <v/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 t="str">
        <f>IFERROR(__xludf.DUMMYFUNCTION("""COMPUTED_VALUE"""),"")</f>
        <v/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 t="str">
        <f>IFERROR(__xludf.DUMMYFUNCTION("""COMPUTED_VALUE"""),"")</f>
        <v/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 t="str">
        <f>IFERROR(__xludf.DUMMYFUNCTION("""COMPUTED_VALUE"""),"")</f>
        <v/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 t="str">
        <f>IFERROR(__xludf.DUMMYFUNCTION("""COMPUTED_VALUE"""),"")</f>
        <v/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 t="str">
        <f>IFERROR(__xludf.DUMMYFUNCTION("""COMPUTED_VALUE"""),"")</f>
        <v/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 t="str">
        <f>IFERROR(__xludf.DUMMYFUNCTION("""COMPUTED_VALUE"""),"")</f>
        <v/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 t="str">
        <f>IFERROR(__xludf.DUMMYFUNCTION("""COMPUTED_VALUE"""),"")</f>
        <v/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 t="str">
        <f>IFERROR(__xludf.DUMMYFUNCTION("""COMPUTED_VALUE"""),"")</f>
        <v/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 t="str">
        <f>IFERROR(__xludf.DUMMYFUNCTION("""COMPUTED_VALUE"""),"")</f>
        <v/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 t="str">
        <f>IFERROR(__xludf.DUMMYFUNCTION("""COMPUTED_VALUE"""),"")</f>
        <v/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 t="str">
        <f>IFERROR(__xludf.DUMMYFUNCTION("""COMPUTED_VALUE"""),"")</f>
        <v/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 t="str">
        <f>IFERROR(__xludf.DUMMYFUNCTION("""COMPUTED_VALUE"""),"")</f>
        <v/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 t="str">
        <f>IFERROR(__xludf.DUMMYFUNCTION("""COMPUTED_VALUE"""),"")</f>
        <v/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 t="str">
        <f>IFERROR(__xludf.DUMMYFUNCTION("""COMPUTED_VALUE"""),"")</f>
        <v/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 t="str">
        <f>IFERROR(__xludf.DUMMYFUNCTION("""COMPUTED_VALUE"""),"")</f>
        <v/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 t="str">
        <f>IFERROR(__xludf.DUMMYFUNCTION("""COMPUTED_VALUE"""),"")</f>
        <v/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 t="str">
        <f>IFERROR(__xludf.DUMMYFUNCTION("""COMPUTED_VALUE"""),"")</f>
        <v/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 t="str">
        <f>IFERROR(__xludf.DUMMYFUNCTION("""COMPUTED_VALUE"""),"")</f>
        <v/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 t="str">
        <f>IFERROR(__xludf.DUMMYFUNCTION("""COMPUTED_VALUE"""),"")</f>
        <v/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 t="str">
        <f>IFERROR(__xludf.DUMMYFUNCTION("""COMPUTED_VALUE"""),"")</f>
        <v/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 t="str">
        <f>IFERROR(__xludf.DUMMYFUNCTION("""COMPUTED_VALUE"""),"")</f>
        <v/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 t="str">
        <f>IFERROR(__xludf.DUMMYFUNCTION("""COMPUTED_VALUE"""),"")</f>
        <v/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 t="str">
        <f>IFERROR(__xludf.DUMMYFUNCTION("""COMPUTED_VALUE"""),"")</f>
        <v/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 t="str">
        <f>IFERROR(__xludf.DUMMYFUNCTION("""COMPUTED_VALUE"""),"")</f>
        <v/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 t="str">
        <f>IFERROR(__xludf.DUMMYFUNCTION("""COMPUTED_VALUE"""),"")</f>
        <v/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 t="str">
        <f>IFERROR(__xludf.DUMMYFUNCTION("""COMPUTED_VALUE"""),"")</f>
        <v/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 t="str">
        <f>IFERROR(__xludf.DUMMYFUNCTION("""COMPUTED_VALUE"""),"")</f>
        <v/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 t="str">
        <f>IFERROR(__xludf.DUMMYFUNCTION("""COMPUTED_VALUE"""),"")</f>
        <v/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 t="str">
        <f>IFERROR(__xludf.DUMMYFUNCTION("""COMPUTED_VALUE"""),"")</f>
        <v/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 t="str">
        <f>IFERROR(__xludf.DUMMYFUNCTION("""COMPUTED_VALUE"""),"")</f>
        <v/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 t="str">
        <f>IFERROR(__xludf.DUMMYFUNCTION("""COMPUTED_VALUE"""),"")</f>
        <v/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 t="str">
        <f>IFERROR(__xludf.DUMMYFUNCTION("""COMPUTED_VALUE"""),"")</f>
        <v/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 t="str">
        <f>IFERROR(__xludf.DUMMYFUNCTION("""COMPUTED_VALUE"""),"")</f>
        <v/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 t="str">
        <f>IFERROR(__xludf.DUMMYFUNCTION("""COMPUTED_VALUE"""),"")</f>
        <v/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 t="str">
        <f>IFERROR(__xludf.DUMMYFUNCTION("""COMPUTED_VALUE"""),"")</f>
        <v/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 t="str">
        <f>IFERROR(__xludf.DUMMYFUNCTION("""COMPUTED_VALUE"""),"")</f>
        <v/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 t="str">
        <f>IFERROR(__xludf.DUMMYFUNCTION("""COMPUTED_VALUE"""),"")</f>
        <v/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 t="str">
        <f>IFERROR(__xludf.DUMMYFUNCTION("""COMPUTED_VALUE"""),"")</f>
        <v/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 t="str">
        <f>IFERROR(__xludf.DUMMYFUNCTION("""COMPUTED_VALUE"""),"")</f>
        <v/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 t="str">
        <f>IFERROR(__xludf.DUMMYFUNCTION("""COMPUTED_VALUE"""),"")</f>
        <v/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 t="str">
        <f>IFERROR(__xludf.DUMMYFUNCTION("""COMPUTED_VALUE"""),"")</f>
        <v/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 t="str">
        <f>IFERROR(__xludf.DUMMYFUNCTION("""COMPUTED_VALUE"""),"")</f>
        <v/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 t="str">
        <f>IFERROR(__xludf.DUMMYFUNCTION("""COMPUTED_VALUE"""),"")</f>
        <v/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 t="str">
        <f>IFERROR(__xludf.DUMMYFUNCTION("""COMPUTED_VALUE"""),"")</f>
        <v/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 t="str">
        <f>IFERROR(__xludf.DUMMYFUNCTION("""COMPUTED_VALUE"""),"")</f>
        <v/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 t="str">
        <f>IFERROR(__xludf.DUMMYFUNCTION("""COMPUTED_VALUE"""),"")</f>
        <v/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 t="str">
        <f>IFERROR(__xludf.DUMMYFUNCTION("""COMPUTED_VALUE"""),"")</f>
        <v/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 t="str">
        <f>IFERROR(__xludf.DUMMYFUNCTION("""COMPUTED_VALUE"""),"")</f>
        <v/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 t="str">
        <f>IFERROR(__xludf.DUMMYFUNCTION("""COMPUTED_VALUE"""),"")</f>
        <v/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 t="str">
        <f>IFERROR(__xludf.DUMMYFUNCTION("""COMPUTED_VALUE"""),"")</f>
        <v/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 t="str">
        <f>IFERROR(__xludf.DUMMYFUNCTION("""COMPUTED_VALUE"""),"")</f>
        <v/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 t="str">
        <f>IFERROR(__xludf.DUMMYFUNCTION("""COMPUTED_VALUE"""),"")</f>
        <v/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 t="str">
        <f>IFERROR(__xludf.DUMMYFUNCTION("""COMPUTED_VALUE"""),"")</f>
        <v/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 t="str">
        <f>IFERROR(__xludf.DUMMYFUNCTION("""COMPUTED_VALUE"""),"")</f>
        <v/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 t="str">
        <f>IFERROR(__xludf.DUMMYFUNCTION("""COMPUTED_VALUE"""),"")</f>
        <v/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 t="str">
        <f>IFERROR(__xludf.DUMMYFUNCTION("""COMPUTED_VALUE"""),"")</f>
        <v/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 t="str">
        <f>IFERROR(__xludf.DUMMYFUNCTION("""COMPUTED_VALUE"""),"")</f>
        <v/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 t="str">
        <f>IFERROR(__xludf.DUMMYFUNCTION("""COMPUTED_VALUE"""),"")</f>
        <v/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 t="str">
        <f>IFERROR(__xludf.DUMMYFUNCTION("""COMPUTED_VALUE"""),"")</f>
        <v/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 t="str">
        <f>IFERROR(__xludf.DUMMYFUNCTION("""COMPUTED_VALUE"""),"")</f>
        <v/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 t="str">
        <f>IFERROR(__xludf.DUMMYFUNCTION("""COMPUTED_VALUE"""),"")</f>
        <v/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 t="str">
        <f>IFERROR(__xludf.DUMMYFUNCTION("""COMPUTED_VALUE"""),"")</f>
        <v/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 t="str">
        <f>IFERROR(__xludf.DUMMYFUNCTION("""COMPUTED_VALUE"""),"")</f>
        <v/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 t="str">
        <f>IFERROR(__xludf.DUMMYFUNCTION("""COMPUTED_VALUE"""),"")</f>
        <v/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 t="str">
        <f>IFERROR(__xludf.DUMMYFUNCTION("""COMPUTED_VALUE"""),"")</f>
        <v/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 t="str">
        <f>IFERROR(__xludf.DUMMYFUNCTION("""COMPUTED_VALUE"""),"")</f>
        <v/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 t="str">
        <f>IFERROR(__xludf.DUMMYFUNCTION("""COMPUTED_VALUE"""),"")</f>
        <v/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 t="str">
        <f>IFERROR(__xludf.DUMMYFUNCTION("""COMPUTED_VALUE"""),"")</f>
        <v/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 t="str">
        <f>IFERROR(__xludf.DUMMYFUNCTION("""COMPUTED_VALUE"""),"")</f>
        <v/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 t="str">
        <f>IFERROR(__xludf.DUMMYFUNCTION("""COMPUTED_VALUE"""),"")</f>
        <v/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 t="str">
        <f>IFERROR(__xludf.DUMMYFUNCTION("""COMPUTED_VALUE"""),"")</f>
        <v/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 t="str">
        <f>IFERROR(__xludf.DUMMYFUNCTION("""COMPUTED_VALUE"""),"")</f>
        <v/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 t="str">
        <f>IFERROR(__xludf.DUMMYFUNCTION("""COMPUTED_VALUE"""),"")</f>
        <v/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 t="str">
        <f>IFERROR(__xludf.DUMMYFUNCTION("""COMPUTED_VALUE"""),"")</f>
        <v/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 t="str">
        <f>IFERROR(__xludf.DUMMYFUNCTION("""COMPUTED_VALUE"""),"")</f>
        <v/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 t="str">
        <f>IFERROR(__xludf.DUMMYFUNCTION("""COMPUTED_VALUE"""),"")</f>
        <v/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 t="str">
        <f>IFERROR(__xludf.DUMMYFUNCTION("""COMPUTED_VALUE"""),"")</f>
        <v/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 t="str">
        <f>IFERROR(__xludf.DUMMYFUNCTION("""COMPUTED_VALUE"""),"")</f>
        <v/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 t="str">
        <f>IFERROR(__xludf.DUMMYFUNCTION("""COMPUTED_VALUE"""),"")</f>
        <v/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 t="str">
        <f>IFERROR(__xludf.DUMMYFUNCTION("""COMPUTED_VALUE"""),"")</f>
        <v/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 t="str">
        <f>IFERROR(__xludf.DUMMYFUNCTION("""COMPUTED_VALUE"""),"")</f>
        <v/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 t="str">
        <f>IFERROR(__xludf.DUMMYFUNCTION("""COMPUTED_VALUE"""),"")</f>
        <v/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 t="str">
        <f>IFERROR(__xludf.DUMMYFUNCTION("""COMPUTED_VALUE"""),"")</f>
        <v/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 t="str">
        <f>IFERROR(__xludf.DUMMYFUNCTION("""COMPUTED_VALUE"""),"")</f>
        <v/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 t="str">
        <f>IFERROR(__xludf.DUMMYFUNCTION("""COMPUTED_VALUE"""),"")</f>
        <v/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 t="str">
        <f>IFERROR(__xludf.DUMMYFUNCTION("""COMPUTED_VALUE"""),"")</f>
        <v/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 t="str">
        <f>IFERROR(__xludf.DUMMYFUNCTION("""COMPUTED_VALUE"""),"")</f>
        <v/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 t="str">
        <f>IFERROR(__xludf.DUMMYFUNCTION("""COMPUTED_VALUE"""),"")</f>
        <v/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 t="str">
        <f>IFERROR(__xludf.DUMMYFUNCTION("""COMPUTED_VALUE"""),"")</f>
        <v/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 t="str">
        <f>IFERROR(__xludf.DUMMYFUNCTION("""COMPUTED_VALUE"""),"")</f>
        <v/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 t="str">
        <f>IFERROR(__xludf.DUMMYFUNCTION("""COMPUTED_VALUE"""),"")</f>
        <v/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 t="str">
        <f>IFERROR(__xludf.DUMMYFUNCTION("""COMPUTED_VALUE"""),"")</f>
        <v/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 t="str">
        <f>IFERROR(__xludf.DUMMYFUNCTION("""COMPUTED_VALUE"""),"")</f>
        <v/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 t="str">
        <f>IFERROR(__xludf.DUMMYFUNCTION("""COMPUTED_VALUE"""),"")</f>
        <v/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 t="str">
        <f>IFERROR(__xludf.DUMMYFUNCTION("""COMPUTED_VALUE"""),"")</f>
        <v/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 t="str">
        <f>IFERROR(__xludf.DUMMYFUNCTION("""COMPUTED_VALUE"""),"")</f>
        <v/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 t="str">
        <f>IFERROR(__xludf.DUMMYFUNCTION("""COMPUTED_VALUE"""),"")</f>
        <v/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 t="str">
        <f>IFERROR(__xludf.DUMMYFUNCTION("""COMPUTED_VALUE"""),"")</f>
        <v/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 t="str">
        <f>IFERROR(__xludf.DUMMYFUNCTION("""COMPUTED_VALUE"""),"")</f>
        <v/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 t="str">
        <f>IFERROR(__xludf.DUMMYFUNCTION("""COMPUTED_VALUE"""),"")</f>
        <v/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 t="str">
        <f>IFERROR(__xludf.DUMMYFUNCTION("""COMPUTED_VALUE"""),"")</f>
        <v/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 t="str">
        <f>IFERROR(__xludf.DUMMYFUNCTION("""COMPUTED_VALUE"""),"")</f>
        <v/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 t="str">
        <f>IFERROR(__xludf.DUMMYFUNCTION("""COMPUTED_VALUE"""),"")</f>
        <v/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 t="str">
        <f>IFERROR(__xludf.DUMMYFUNCTION("""COMPUTED_VALUE"""),"")</f>
        <v/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 t="str">
        <f>IFERROR(__xludf.DUMMYFUNCTION("""COMPUTED_VALUE"""),"")</f>
        <v/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 t="str">
        <f>IFERROR(__xludf.DUMMYFUNCTION("""COMPUTED_VALUE"""),"")</f>
        <v/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 t="str">
        <f>IFERROR(__xludf.DUMMYFUNCTION("""COMPUTED_VALUE"""),"")</f>
        <v/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 t="str">
        <f>IFERROR(__xludf.DUMMYFUNCTION("""COMPUTED_VALUE"""),"")</f>
        <v/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 t="str">
        <f>IFERROR(__xludf.DUMMYFUNCTION("""COMPUTED_VALUE"""),"")</f>
        <v/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 t="str">
        <f>IFERROR(__xludf.DUMMYFUNCTION("""COMPUTED_VALUE"""),"")</f>
        <v/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 t="str">
        <f>IFERROR(__xludf.DUMMYFUNCTION("""COMPUTED_VALUE"""),"")</f>
        <v/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 t="str">
        <f>IFERROR(__xludf.DUMMYFUNCTION("""COMPUTED_VALUE"""),"")</f>
        <v/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 t="str">
        <f>IFERROR(__xludf.DUMMYFUNCTION("""COMPUTED_VALUE"""),"")</f>
        <v/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 t="str">
        <f>IFERROR(__xludf.DUMMYFUNCTION("""COMPUTED_VALUE"""),"")</f>
        <v/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 t="str">
        <f>IFERROR(__xludf.DUMMYFUNCTION("""COMPUTED_VALUE"""),"")</f>
        <v/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 t="str">
        <f>IFERROR(__xludf.DUMMYFUNCTION("""COMPUTED_VALUE"""),"")</f>
        <v/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 t="str">
        <f>IFERROR(__xludf.DUMMYFUNCTION("""COMPUTED_VALUE"""),"")</f>
        <v/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 t="str">
        <f>IFERROR(__xludf.DUMMYFUNCTION("""COMPUTED_VALUE"""),"")</f>
        <v/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 t="str">
        <f>IFERROR(__xludf.DUMMYFUNCTION("""COMPUTED_VALUE"""),"")</f>
        <v/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 t="str">
        <f>IFERROR(__xludf.DUMMYFUNCTION("""COMPUTED_VALUE"""),"")</f>
        <v/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 t="str">
        <f>IFERROR(__xludf.DUMMYFUNCTION("""COMPUTED_VALUE"""),"")</f>
        <v/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 t="str">
        <f>IFERROR(__xludf.DUMMYFUNCTION("""COMPUTED_VALUE"""),"")</f>
        <v/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 t="str">
        <f>IFERROR(__xludf.DUMMYFUNCTION("""COMPUTED_VALUE"""),"")</f>
        <v/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 t="str">
        <f>IFERROR(__xludf.DUMMYFUNCTION("""COMPUTED_VALUE"""),"")</f>
        <v/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 t="str">
        <f>IFERROR(__xludf.DUMMYFUNCTION("""COMPUTED_VALUE"""),"")</f>
        <v/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 t="str">
        <f>IFERROR(__xludf.DUMMYFUNCTION("""COMPUTED_VALUE"""),"")</f>
        <v/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 t="str">
        <f>IFERROR(__xludf.DUMMYFUNCTION("""COMPUTED_VALUE"""),"")</f>
        <v/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 t="str">
        <f>IFERROR(__xludf.DUMMYFUNCTION("""COMPUTED_VALUE"""),"")</f>
        <v/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 t="str">
        <f>IFERROR(__xludf.DUMMYFUNCTION("""COMPUTED_VALUE"""),"")</f>
        <v/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 t="str">
        <f>IFERROR(__xludf.DUMMYFUNCTION("""COMPUTED_VALUE"""),"")</f>
        <v/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 t="str">
        <f>IFERROR(__xludf.DUMMYFUNCTION("""COMPUTED_VALUE"""),"")</f>
        <v/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 t="str">
        <f>IFERROR(__xludf.DUMMYFUNCTION("""COMPUTED_VALUE"""),"")</f>
        <v/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 t="str">
        <f>IFERROR(__xludf.DUMMYFUNCTION("""COMPUTED_VALUE"""),"")</f>
        <v/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 t="str">
        <f>IFERROR(__xludf.DUMMYFUNCTION("""COMPUTED_VALUE"""),"")</f>
        <v/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 t="str">
        <f>IFERROR(__xludf.DUMMYFUNCTION("""COMPUTED_VALUE"""),"")</f>
        <v/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 t="str">
        <f>IFERROR(__xludf.DUMMYFUNCTION("""COMPUTED_VALUE"""),"")</f>
        <v/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 t="str">
        <f>IFERROR(__xludf.DUMMYFUNCTION("""COMPUTED_VALUE"""),"")</f>
        <v/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 t="str">
        <f>IFERROR(__xludf.DUMMYFUNCTION("""COMPUTED_VALUE"""),"")</f>
        <v/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 t="str">
        <f>IFERROR(__xludf.DUMMYFUNCTION("""COMPUTED_VALUE"""),"")</f>
        <v/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 t="str">
        <f>IFERROR(__xludf.DUMMYFUNCTION("""COMPUTED_VALUE"""),"")</f>
        <v/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 t="str">
        <f>IFERROR(__xludf.DUMMYFUNCTION("""COMPUTED_VALUE"""),"")</f>
        <v/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 t="str">
        <f>IFERROR(__xludf.DUMMYFUNCTION("""COMPUTED_VALUE"""),"")</f>
        <v/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 t="str">
        <f>IFERROR(__xludf.DUMMYFUNCTION("""COMPUTED_VALUE"""),"")</f>
        <v/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 t="str">
        <f>IFERROR(__xludf.DUMMYFUNCTION("""COMPUTED_VALUE"""),"")</f>
        <v/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 t="str">
        <f>IFERROR(__xludf.DUMMYFUNCTION("""COMPUTED_VALUE"""),"")</f>
        <v/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 t="str">
        <f>IFERROR(__xludf.DUMMYFUNCTION("""COMPUTED_VALUE"""),"")</f>
        <v/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 t="str">
        <f>IFERROR(__xludf.DUMMYFUNCTION("""COMPUTED_VALUE"""),"")</f>
        <v/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 t="str">
        <f>IFERROR(__xludf.DUMMYFUNCTION("""COMPUTED_VALUE"""),"")</f>
        <v/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 t="str">
        <f>IFERROR(__xludf.DUMMYFUNCTION("""COMPUTED_VALUE"""),"")</f>
        <v/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 t="str">
        <f>IFERROR(__xludf.DUMMYFUNCTION("""COMPUTED_VALUE"""),"")</f>
        <v/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 t="str">
        <f>IFERROR(__xludf.DUMMYFUNCTION("""COMPUTED_VALUE"""),"")</f>
        <v/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 t="str">
        <f>IFERROR(__xludf.DUMMYFUNCTION("""COMPUTED_VALUE"""),"")</f>
        <v/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 t="str">
        <f>IFERROR(__xludf.DUMMYFUNCTION("""COMPUTED_VALUE"""),"")</f>
        <v/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 t="str">
        <f>IFERROR(__xludf.DUMMYFUNCTION("""COMPUTED_VALUE"""),"")</f>
        <v/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 t="str">
        <f>IFERROR(__xludf.DUMMYFUNCTION("""COMPUTED_VALUE"""),"")</f>
        <v/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 t="str">
        <f>IFERROR(__xludf.DUMMYFUNCTION("""COMPUTED_VALUE"""),"")</f>
        <v/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 t="str">
        <f>IFERROR(__xludf.DUMMYFUNCTION("""COMPUTED_VALUE"""),"")</f>
        <v/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 t="str">
        <f>IFERROR(__xludf.DUMMYFUNCTION("""COMPUTED_VALUE"""),"")</f>
        <v/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 t="str">
        <f>IFERROR(__xludf.DUMMYFUNCTION("""COMPUTED_VALUE"""),"")</f>
        <v/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 t="str">
        <f>IFERROR(__xludf.DUMMYFUNCTION("""COMPUTED_VALUE"""),"")</f>
        <v/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 t="str">
        <f>IFERROR(__xludf.DUMMYFUNCTION("""COMPUTED_VALUE"""),"")</f>
        <v/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 t="str">
        <f>IFERROR(__xludf.DUMMYFUNCTION("""COMPUTED_VALUE"""),"")</f>
        <v/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 t="str">
        <f>IFERROR(__xludf.DUMMYFUNCTION("""COMPUTED_VALUE"""),"")</f>
        <v/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 t="str">
        <f>IFERROR(__xludf.DUMMYFUNCTION("""COMPUTED_VALUE"""),"")</f>
        <v/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 t="str">
        <f>IFERROR(__xludf.DUMMYFUNCTION("""COMPUTED_VALUE"""),"")</f>
        <v/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 t="str">
        <f>IFERROR(__xludf.DUMMYFUNCTION("""COMPUTED_VALUE"""),"")</f>
        <v/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 t="str">
        <f>IFERROR(__xludf.DUMMYFUNCTION("""COMPUTED_VALUE"""),"")</f>
        <v/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 t="str">
        <f>IFERROR(__xludf.DUMMYFUNCTION("""COMPUTED_VALUE"""),"")</f>
        <v/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 t="str">
        <f>IFERROR(__xludf.DUMMYFUNCTION("""COMPUTED_VALUE"""),"")</f>
        <v/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 t="str">
        <f>IFERROR(__xludf.DUMMYFUNCTION("""COMPUTED_VALUE"""),"")</f>
        <v/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 t="str">
        <f>IFERROR(__xludf.DUMMYFUNCTION("""COMPUTED_VALUE"""),"")</f>
        <v/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 t="str">
        <f>IFERROR(__xludf.DUMMYFUNCTION("""COMPUTED_VALUE"""),"")</f>
        <v/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 t="str">
        <f>IFERROR(__xludf.DUMMYFUNCTION("""COMPUTED_VALUE"""),"")</f>
        <v/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 t="str">
        <f>IFERROR(__xludf.DUMMYFUNCTION("""COMPUTED_VALUE"""),"")</f>
        <v/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 t="str">
        <f>IFERROR(__xludf.DUMMYFUNCTION("""COMPUTED_VALUE"""),"")</f>
        <v/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 t="str">
        <f>IFERROR(__xludf.DUMMYFUNCTION("""COMPUTED_VALUE"""),"")</f>
        <v/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 t="str">
        <f>IFERROR(__xludf.DUMMYFUNCTION("""COMPUTED_VALUE"""),"")</f>
        <v/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 t="str">
        <f>IFERROR(__xludf.DUMMYFUNCTION("""COMPUTED_VALUE"""),"")</f>
        <v/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 t="str">
        <f>IFERROR(__xludf.DUMMYFUNCTION("""COMPUTED_VALUE"""),"")</f>
        <v/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 t="str">
        <f>IFERROR(__xludf.DUMMYFUNCTION("""COMPUTED_VALUE"""),"")</f>
        <v/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 t="str">
        <f>IFERROR(__xludf.DUMMYFUNCTION("""COMPUTED_VALUE"""),"")</f>
        <v/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 t="str">
        <f>IFERROR(__xludf.DUMMYFUNCTION("""COMPUTED_VALUE"""),"")</f>
        <v/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 t="str">
        <f>IFERROR(__xludf.DUMMYFUNCTION("""COMPUTED_VALUE"""),"")</f>
        <v/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 t="str">
        <f>IFERROR(__xludf.DUMMYFUNCTION("""COMPUTED_VALUE"""),"")</f>
        <v/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 t="str">
        <f>IFERROR(__xludf.DUMMYFUNCTION("""COMPUTED_VALUE"""),"")</f>
        <v/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 t="str">
        <f>IFERROR(__xludf.DUMMYFUNCTION("""COMPUTED_VALUE"""),"")</f>
        <v/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 t="str">
        <f>IFERROR(__xludf.DUMMYFUNCTION("""COMPUTED_VALUE"""),"")</f>
        <v/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 t="str">
        <f>IFERROR(__xludf.DUMMYFUNCTION("""COMPUTED_VALUE"""),"")</f>
        <v/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 t="str">
        <f>IFERROR(__xludf.DUMMYFUNCTION("""COMPUTED_VALUE"""),"")</f>
        <v/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 t="str">
        <f>IFERROR(__xludf.DUMMYFUNCTION("""COMPUTED_VALUE"""),"")</f>
        <v/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 t="str">
        <f>IFERROR(__xludf.DUMMYFUNCTION("""COMPUTED_VALUE"""),"")</f>
        <v/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 t="str">
        <f>IFERROR(__xludf.DUMMYFUNCTION("""COMPUTED_VALUE"""),"")</f>
        <v/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 t="str">
        <f>IFERROR(__xludf.DUMMYFUNCTION("""COMPUTED_VALUE"""),"")</f>
        <v/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 t="str">
        <f>IFERROR(__xludf.DUMMYFUNCTION("""COMPUTED_VALUE"""),"")</f>
        <v/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 t="str">
        <f>IFERROR(__xludf.DUMMYFUNCTION("""COMPUTED_VALUE"""),"")</f>
        <v/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 t="str">
        <f>IFERROR(__xludf.DUMMYFUNCTION("""COMPUTED_VALUE"""),"")</f>
        <v/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 t="str">
        <f>IFERROR(__xludf.DUMMYFUNCTION("""COMPUTED_VALUE"""),"")</f>
        <v/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 t="str">
        <f>IFERROR(__xludf.DUMMYFUNCTION("""COMPUTED_VALUE"""),"")</f>
        <v/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 t="str">
        <f>IFERROR(__xludf.DUMMYFUNCTION("""COMPUTED_VALUE"""),"")</f>
        <v/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 t="str">
        <f>IFERROR(__xludf.DUMMYFUNCTION("""COMPUTED_VALUE"""),"")</f>
        <v/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 t="str">
        <f>IFERROR(__xludf.DUMMYFUNCTION("""COMPUTED_VALUE"""),"")</f>
        <v/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 t="str">
        <f>IFERROR(__xludf.DUMMYFUNCTION("""COMPUTED_VALUE"""),"")</f>
        <v/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 t="str">
        <f>IFERROR(__xludf.DUMMYFUNCTION("""COMPUTED_VALUE"""),"")</f>
        <v/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 t="str">
        <f>IFERROR(__xludf.DUMMYFUNCTION("""COMPUTED_VALUE"""),"")</f>
        <v/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 t="str">
        <f>IFERROR(__xludf.DUMMYFUNCTION("""COMPUTED_VALUE"""),"")</f>
        <v/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 t="str">
        <f>IFERROR(__xludf.DUMMYFUNCTION("""COMPUTED_VALUE"""),"")</f>
        <v/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 t="str">
        <f>IFERROR(__xludf.DUMMYFUNCTION("""COMPUTED_VALUE"""),"")</f>
        <v/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 t="str">
        <f>IFERROR(__xludf.DUMMYFUNCTION("""COMPUTED_VALUE"""),"")</f>
        <v/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 t="str">
        <f>IFERROR(__xludf.DUMMYFUNCTION("""COMPUTED_VALUE"""),"")</f>
        <v/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 t="str">
        <f>IFERROR(__xludf.DUMMYFUNCTION("""COMPUTED_VALUE"""),"")</f>
        <v/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 t="str">
        <f>IFERROR(__xludf.DUMMYFUNCTION("""COMPUTED_VALUE"""),"")</f>
        <v/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 t="str">
        <f>IFERROR(__xludf.DUMMYFUNCTION("""COMPUTED_VALUE"""),"")</f>
        <v/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 t="str">
        <f>IFERROR(__xludf.DUMMYFUNCTION("""COMPUTED_VALUE"""),"")</f>
        <v/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 t="str">
        <f>IFERROR(__xludf.DUMMYFUNCTION("""COMPUTED_VALUE"""),"")</f>
        <v/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 t="str">
        <f>IFERROR(__xludf.DUMMYFUNCTION("""COMPUTED_VALUE"""),"")</f>
        <v/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 t="str">
        <f>IFERROR(__xludf.DUMMYFUNCTION("""COMPUTED_VALUE"""),"")</f>
        <v/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 t="str">
        <f>IFERROR(__xludf.DUMMYFUNCTION("""COMPUTED_VALUE"""),"")</f>
        <v/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 t="str">
        <f>IFERROR(__xludf.DUMMYFUNCTION("""COMPUTED_VALUE"""),"")</f>
        <v/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 t="str">
        <f>IFERROR(__xludf.DUMMYFUNCTION("""COMPUTED_VALUE"""),"")</f>
        <v/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 t="str">
        <f>IFERROR(__xludf.DUMMYFUNCTION("""COMPUTED_VALUE"""),"")</f>
        <v/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 t="str">
        <f>IFERROR(__xludf.DUMMYFUNCTION("""COMPUTED_VALUE"""),"")</f>
        <v/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 t="str">
        <f>IFERROR(__xludf.DUMMYFUNCTION("""COMPUTED_VALUE"""),"")</f>
        <v/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 t="str">
        <f>IFERROR(__xludf.DUMMYFUNCTION("""COMPUTED_VALUE"""),"")</f>
        <v/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 t="str">
        <f>IFERROR(__xludf.DUMMYFUNCTION("""COMPUTED_VALUE"""),"")</f>
        <v/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 t="str">
        <f>IFERROR(__xludf.DUMMYFUNCTION("""COMPUTED_VALUE"""),"")</f>
        <v/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 t="str">
        <f>IFERROR(__xludf.DUMMYFUNCTION("""COMPUTED_VALUE"""),"")</f>
        <v/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 t="str">
        <f>IFERROR(__xludf.DUMMYFUNCTION("""COMPUTED_VALUE"""),"")</f>
        <v/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 t="str">
        <f>IFERROR(__xludf.DUMMYFUNCTION("""COMPUTED_VALUE"""),"")</f>
        <v/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 t="str">
        <f>IFERROR(__xludf.DUMMYFUNCTION("""COMPUTED_VALUE"""),"")</f>
        <v/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 t="str">
        <f>IFERROR(__xludf.DUMMYFUNCTION("""COMPUTED_VALUE"""),"")</f>
        <v/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 t="str">
        <f>IFERROR(__xludf.DUMMYFUNCTION("""COMPUTED_VALUE"""),"")</f>
        <v/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 t="str">
        <f>IFERROR(__xludf.DUMMYFUNCTION("""COMPUTED_VALUE"""),"")</f>
        <v/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 t="str">
        <f>IFERROR(__xludf.DUMMYFUNCTION("""COMPUTED_VALUE"""),"")</f>
        <v/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 t="str">
        <f>IFERROR(__xludf.DUMMYFUNCTION("""COMPUTED_VALUE"""),"")</f>
        <v/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 t="str">
        <f>IFERROR(__xludf.DUMMYFUNCTION("""COMPUTED_VALUE"""),"")</f>
        <v/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 t="str">
        <f>IFERROR(__xludf.DUMMYFUNCTION("""COMPUTED_VALUE"""),"")</f>
        <v/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 t="str">
        <f>IFERROR(__xludf.DUMMYFUNCTION("""COMPUTED_VALUE"""),"")</f>
        <v/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 t="str">
        <f>IFERROR(__xludf.DUMMYFUNCTION("""COMPUTED_VALUE"""),"")</f>
        <v/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 t="str">
        <f>IFERROR(__xludf.DUMMYFUNCTION("""COMPUTED_VALUE"""),"")</f>
        <v/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 t="str">
        <f>IFERROR(__xludf.DUMMYFUNCTION("""COMPUTED_VALUE"""),"")</f>
        <v/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 t="str">
        <f>IFERROR(__xludf.DUMMYFUNCTION("""COMPUTED_VALUE"""),"")</f>
        <v/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 t="str">
        <f>IFERROR(__xludf.DUMMYFUNCTION("""COMPUTED_VALUE"""),"")</f>
        <v/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 t="str">
        <f>IFERROR(__xludf.DUMMYFUNCTION("""COMPUTED_VALUE"""),"")</f>
        <v/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 t="str">
        <f>IFERROR(__xludf.DUMMYFUNCTION("""COMPUTED_VALUE"""),"")</f>
        <v/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 t="str">
        <f>IFERROR(__xludf.DUMMYFUNCTION("""COMPUTED_VALUE"""),"")</f>
        <v/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 t="str">
        <f>IFERROR(__xludf.DUMMYFUNCTION("""COMPUTED_VALUE"""),"")</f>
        <v/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 t="str">
        <f>IFERROR(__xludf.DUMMYFUNCTION("""COMPUTED_VALUE"""),"")</f>
        <v/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 t="str">
        <f>IFERROR(__xludf.DUMMYFUNCTION("""COMPUTED_VALUE"""),"")</f>
        <v/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 t="str">
        <f>IFERROR(__xludf.DUMMYFUNCTION("""COMPUTED_VALUE"""),"")</f>
        <v/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 t="str">
        <f>IFERROR(__xludf.DUMMYFUNCTION("""COMPUTED_VALUE"""),"")</f>
        <v/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 t="str">
        <f>IFERROR(__xludf.DUMMYFUNCTION("""COMPUTED_VALUE"""),"")</f>
        <v/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 t="str">
        <f>IFERROR(__xludf.DUMMYFUNCTION("""COMPUTED_VALUE"""),"")</f>
        <v/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 t="str">
        <f>IFERROR(__xludf.DUMMYFUNCTION("""COMPUTED_VALUE"""),"")</f>
        <v/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 t="str">
        <f>IFERROR(__xludf.DUMMYFUNCTION("""COMPUTED_VALUE"""),"")</f>
        <v/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 t="str">
        <f>IFERROR(__xludf.DUMMYFUNCTION("""COMPUTED_VALUE"""),"")</f>
        <v/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 t="str">
        <f>IFERROR(__xludf.DUMMYFUNCTION("""COMPUTED_VALUE"""),"")</f>
        <v/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 t="str">
        <f>IFERROR(__xludf.DUMMYFUNCTION("""COMPUTED_VALUE"""),"")</f>
        <v/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 t="str">
        <f>IFERROR(__xludf.DUMMYFUNCTION("""COMPUTED_VALUE"""),"")</f>
        <v/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 t="str">
        <f>IFERROR(__xludf.DUMMYFUNCTION("""COMPUTED_VALUE"""),"")</f>
        <v/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 t="str">
        <f>IFERROR(__xludf.DUMMYFUNCTION("""COMPUTED_VALUE"""),"")</f>
        <v/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 t="str">
        <f>IFERROR(__xludf.DUMMYFUNCTION("""COMPUTED_VALUE"""),"")</f>
        <v/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 t="str">
        <f>IFERROR(__xludf.DUMMYFUNCTION("""COMPUTED_VALUE"""),"")</f>
        <v/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 t="str">
        <f>IFERROR(__xludf.DUMMYFUNCTION("""COMPUTED_VALUE"""),"")</f>
        <v/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 t="str">
        <f>IFERROR(__xludf.DUMMYFUNCTION("""COMPUTED_VALUE"""),"")</f>
        <v/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 t="str">
        <f>IFERROR(__xludf.DUMMYFUNCTION("""COMPUTED_VALUE"""),"")</f>
        <v/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 t="str">
        <f>IFERROR(__xludf.DUMMYFUNCTION("""COMPUTED_VALUE"""),"")</f>
        <v/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 t="str">
        <f>IFERROR(__xludf.DUMMYFUNCTION("""COMPUTED_VALUE"""),"")</f>
        <v/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 t="str">
        <f>IFERROR(__xludf.DUMMYFUNCTION("""COMPUTED_VALUE"""),"")</f>
        <v/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 t="str">
        <f>IFERROR(__xludf.DUMMYFUNCTION("""COMPUTED_VALUE"""),"")</f>
        <v/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 t="str">
        <f>IFERROR(__xludf.DUMMYFUNCTION("""COMPUTED_VALUE"""),"")</f>
        <v/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 t="str">
        <f>IFERROR(__xludf.DUMMYFUNCTION("""COMPUTED_VALUE"""),"")</f>
        <v/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 t="str">
        <f>IFERROR(__xludf.DUMMYFUNCTION("""COMPUTED_VALUE"""),"")</f>
        <v/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 t="str">
        <f>IFERROR(__xludf.DUMMYFUNCTION("""COMPUTED_VALUE"""),"")</f>
        <v/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 t="str">
        <f>IFERROR(__xludf.DUMMYFUNCTION("""COMPUTED_VALUE"""),"")</f>
        <v/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 t="str">
        <f>IFERROR(__xludf.DUMMYFUNCTION("""COMPUTED_VALUE"""),"")</f>
        <v/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 t="str">
        <f>IFERROR(__xludf.DUMMYFUNCTION("""COMPUTED_VALUE"""),"")</f>
        <v/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 t="str">
        <f>IFERROR(__xludf.DUMMYFUNCTION("""COMPUTED_VALUE"""),"")</f>
        <v/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 t="str">
        <f>IFERROR(__xludf.DUMMYFUNCTION("""COMPUTED_VALUE"""),"")</f>
        <v/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 t="str">
        <f>IFERROR(__xludf.DUMMYFUNCTION("""COMPUTED_VALUE"""),"")</f>
        <v/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 t="str">
        <f>IFERROR(__xludf.DUMMYFUNCTION("""COMPUTED_VALUE"""),"")</f>
        <v/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 t="str">
        <f>IFERROR(__xludf.DUMMYFUNCTION("""COMPUTED_VALUE"""),"")</f>
        <v/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 t="str">
        <f>IFERROR(__xludf.DUMMYFUNCTION("""COMPUTED_VALUE"""),"")</f>
        <v/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 t="str">
        <f>IFERROR(__xludf.DUMMYFUNCTION("""COMPUTED_VALUE"""),"")</f>
        <v/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 t="str">
        <f>IFERROR(__xludf.DUMMYFUNCTION("""COMPUTED_VALUE"""),"")</f>
        <v/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 t="str">
        <f>IFERROR(__xludf.DUMMYFUNCTION("""COMPUTED_VALUE"""),"")</f>
        <v/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 t="str">
        <f>IFERROR(__xludf.DUMMYFUNCTION("""COMPUTED_VALUE"""),"")</f>
        <v/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 t="str">
        <f>IFERROR(__xludf.DUMMYFUNCTION("""COMPUTED_VALUE"""),"")</f>
        <v/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 t="str">
        <f>IFERROR(__xludf.DUMMYFUNCTION("""COMPUTED_VALUE"""),"")</f>
        <v/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 t="str">
        <f>IFERROR(__xludf.DUMMYFUNCTION("""COMPUTED_VALUE"""),"")</f>
        <v/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 t="str">
        <f>IFERROR(__xludf.DUMMYFUNCTION("""COMPUTED_VALUE"""),"")</f>
        <v/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 t="str">
        <f>IFERROR(__xludf.DUMMYFUNCTION("""COMPUTED_VALUE"""),"")</f>
        <v/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 t="str">
        <f>IFERROR(__xludf.DUMMYFUNCTION("""COMPUTED_VALUE"""),"")</f>
        <v/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 t="str">
        <f>IFERROR(__xludf.DUMMYFUNCTION("""COMPUTED_VALUE"""),"")</f>
        <v/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 t="str">
        <f>IFERROR(__xludf.DUMMYFUNCTION("""COMPUTED_VALUE"""),"")</f>
        <v/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 t="str">
        <f>IFERROR(__xludf.DUMMYFUNCTION("""COMPUTED_VALUE"""),"")</f>
        <v/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 t="str">
        <f>IFERROR(__xludf.DUMMYFUNCTION("""COMPUTED_VALUE"""),"")</f>
        <v/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 t="str">
        <f>IFERROR(__xludf.DUMMYFUNCTION("""COMPUTED_VALUE"""),"")</f>
        <v/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 t="str">
        <f>IFERROR(__xludf.DUMMYFUNCTION("""COMPUTED_VALUE"""),"")</f>
        <v/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 t="str">
        <f>IFERROR(__xludf.DUMMYFUNCTION("""COMPUTED_VALUE"""),"")</f>
        <v/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 t="str">
        <f>IFERROR(__xludf.DUMMYFUNCTION("""COMPUTED_VALUE"""),"")</f>
        <v/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 t="str">
        <f>IFERROR(__xludf.DUMMYFUNCTION("""COMPUTED_VALUE"""),"")</f>
        <v/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 t="str">
        <f>IFERROR(__xludf.DUMMYFUNCTION("""COMPUTED_VALUE"""),"")</f>
        <v/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 t="str">
        <f>IFERROR(__xludf.DUMMYFUNCTION("""COMPUTED_VALUE"""),"")</f>
        <v/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 t="str">
        <f>IFERROR(__xludf.DUMMYFUNCTION("""COMPUTED_VALUE"""),"")</f>
        <v/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 t="str">
        <f>IFERROR(__xludf.DUMMYFUNCTION("""COMPUTED_VALUE"""),"")</f>
        <v/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 t="str">
        <f>IFERROR(__xludf.DUMMYFUNCTION("""COMPUTED_VALUE"""),"")</f>
        <v/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 t="str">
        <f>IFERROR(__xludf.DUMMYFUNCTION("""COMPUTED_VALUE"""),"")</f>
        <v/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 t="str">
        <f>IFERROR(__xludf.DUMMYFUNCTION("""COMPUTED_VALUE"""),"")</f>
        <v/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 t="str">
        <f>IFERROR(__xludf.DUMMYFUNCTION("""COMPUTED_VALUE"""),"")</f>
        <v/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 t="str">
        <f>IFERROR(__xludf.DUMMYFUNCTION("""COMPUTED_VALUE"""),"")</f>
        <v/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 t="str">
        <f>IFERROR(__xludf.DUMMYFUNCTION("""COMPUTED_VALUE"""),"")</f>
        <v/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 t="str">
        <f>IFERROR(__xludf.DUMMYFUNCTION("""COMPUTED_VALUE"""),"")</f>
        <v/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 t="str">
        <f>IFERROR(__xludf.DUMMYFUNCTION("""COMPUTED_VALUE"""),"")</f>
        <v/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 t="str">
        <f>IFERROR(__xludf.DUMMYFUNCTION("""COMPUTED_VALUE"""),"")</f>
        <v/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 t="str">
        <f>IFERROR(__xludf.DUMMYFUNCTION("""COMPUTED_VALUE"""),"")</f>
        <v/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 t="str">
        <f>IFERROR(__xludf.DUMMYFUNCTION("""COMPUTED_VALUE"""),"")</f>
        <v/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 t="str">
        <f>IFERROR(__xludf.DUMMYFUNCTION("""COMPUTED_VALUE"""),"")</f>
        <v/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 t="str">
        <f>IFERROR(__xludf.DUMMYFUNCTION("""COMPUTED_VALUE"""),"")</f>
        <v/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 t="str">
        <f>IFERROR(__xludf.DUMMYFUNCTION("""COMPUTED_VALUE"""),"")</f>
        <v/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 t="str">
        <f>IFERROR(__xludf.DUMMYFUNCTION("""COMPUTED_VALUE"""),"")</f>
        <v/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 t="str">
        <f>IFERROR(__xludf.DUMMYFUNCTION("""COMPUTED_VALUE"""),"")</f>
        <v/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 t="str">
        <f>IFERROR(__xludf.DUMMYFUNCTION("""COMPUTED_VALUE"""),"")</f>
        <v/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 t="str">
        <f>IFERROR(__xludf.DUMMYFUNCTION("""COMPUTED_VALUE"""),"")</f>
        <v/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 t="str">
        <f>IFERROR(__xludf.DUMMYFUNCTION("""COMPUTED_VALUE"""),"")</f>
        <v/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 t="str">
        <f>IFERROR(__xludf.DUMMYFUNCTION("""COMPUTED_VALUE"""),"")</f>
        <v/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 t="str">
        <f>IFERROR(__xludf.DUMMYFUNCTION("""COMPUTED_VALUE"""),"")</f>
        <v/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 t="str">
        <f>IFERROR(__xludf.DUMMYFUNCTION("""COMPUTED_VALUE"""),"")</f>
        <v/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 t="str">
        <f>IFERROR(__xludf.DUMMYFUNCTION("""COMPUTED_VALUE"""),"")</f>
        <v/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 t="str">
        <f>IFERROR(__xludf.DUMMYFUNCTION("""COMPUTED_VALUE"""),"")</f>
        <v/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 t="str">
        <f>IFERROR(__xludf.DUMMYFUNCTION("""COMPUTED_VALUE"""),"")</f>
        <v/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 t="str">
        <f>IFERROR(__xludf.DUMMYFUNCTION("""COMPUTED_VALUE"""),"")</f>
        <v/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 t="str">
        <f>IFERROR(__xludf.DUMMYFUNCTION("""COMPUTED_VALUE"""),"")</f>
        <v/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 t="str">
        <f>IFERROR(__xludf.DUMMYFUNCTION("""COMPUTED_VALUE"""),"")</f>
        <v/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 t="str">
        <f>IFERROR(__xludf.DUMMYFUNCTION("""COMPUTED_VALUE"""),"")</f>
        <v/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 t="str">
        <f>IFERROR(__xludf.DUMMYFUNCTION("""COMPUTED_VALUE"""),"")</f>
        <v/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 t="str">
        <f>IFERROR(__xludf.DUMMYFUNCTION("""COMPUTED_VALUE"""),"")</f>
        <v/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 t="str">
        <f>IFERROR(__xludf.DUMMYFUNCTION("""COMPUTED_VALUE"""),"")</f>
        <v/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 t="str">
        <f>IFERROR(__xludf.DUMMYFUNCTION("""COMPUTED_VALUE"""),"")</f>
        <v/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 t="str">
        <f>IFERROR(__xludf.DUMMYFUNCTION("""COMPUTED_VALUE"""),"")</f>
        <v/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 t="str">
        <f>IFERROR(__xludf.DUMMYFUNCTION("""COMPUTED_VALUE"""),"")</f>
        <v/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 t="str">
        <f>IFERROR(__xludf.DUMMYFUNCTION("""COMPUTED_VALUE"""),"")</f>
        <v/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 t="str">
        <f>IFERROR(__xludf.DUMMYFUNCTION("""COMPUTED_VALUE"""),"")</f>
        <v/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 t="str">
        <f>IFERROR(__xludf.DUMMYFUNCTION("""COMPUTED_VALUE"""),"")</f>
        <v/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 t="str">
        <f>IFERROR(__xludf.DUMMYFUNCTION("""COMPUTED_VALUE"""),"")</f>
        <v/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 t="str">
        <f>IFERROR(__xludf.DUMMYFUNCTION("""COMPUTED_VALUE"""),"")</f>
        <v/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 t="str">
        <f>IFERROR(__xludf.DUMMYFUNCTION("""COMPUTED_VALUE"""),"")</f>
        <v/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 t="str">
        <f>IFERROR(__xludf.DUMMYFUNCTION("""COMPUTED_VALUE"""),"")</f>
        <v/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 t="str">
        <f>IFERROR(__xludf.DUMMYFUNCTION("""COMPUTED_VALUE"""),"")</f>
        <v/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 t="str">
        <f>IFERROR(__xludf.DUMMYFUNCTION("""COMPUTED_VALUE"""),"")</f>
        <v/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 t="str">
        <f>IFERROR(__xludf.DUMMYFUNCTION("""COMPUTED_VALUE"""),"")</f>
        <v/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 t="str">
        <f>IFERROR(__xludf.DUMMYFUNCTION("""COMPUTED_VALUE"""),"")</f>
        <v/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 t="str">
        <f>IFERROR(__xludf.DUMMYFUNCTION("""COMPUTED_VALUE"""),"")</f>
        <v/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 t="str">
        <f>IFERROR(__xludf.DUMMYFUNCTION("""COMPUTED_VALUE"""),"")</f>
        <v/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 t="str">
        <f>IFERROR(__xludf.DUMMYFUNCTION("""COMPUTED_VALUE"""),"")</f>
        <v/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 t="str">
        <f>IFERROR(__xludf.DUMMYFUNCTION("""COMPUTED_VALUE"""),"")</f>
        <v/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 t="str">
        <f>IFERROR(__xludf.DUMMYFUNCTION("""COMPUTED_VALUE"""),"")</f>
        <v/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 t="str">
        <f>IFERROR(__xludf.DUMMYFUNCTION("""COMPUTED_VALUE"""),"")</f>
        <v/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 t="str">
        <f>IFERROR(__xludf.DUMMYFUNCTION("""COMPUTED_VALUE"""),"")</f>
        <v/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 t="str">
        <f>IFERROR(__xludf.DUMMYFUNCTION("""COMPUTED_VALUE"""),"")</f>
        <v/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 t="str">
        <f>IFERROR(__xludf.DUMMYFUNCTION("""COMPUTED_VALUE"""),"")</f>
        <v/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 t="str">
        <f>IFERROR(__xludf.DUMMYFUNCTION("""COMPUTED_VALUE"""),"")</f>
        <v/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 t="str">
        <f>IFERROR(__xludf.DUMMYFUNCTION("""COMPUTED_VALUE"""),"")</f>
        <v/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 t="str">
        <f>IFERROR(__xludf.DUMMYFUNCTION("""COMPUTED_VALUE"""),"")</f>
        <v/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 t="str">
        <f>IFERROR(__xludf.DUMMYFUNCTION("""COMPUTED_VALUE"""),"")</f>
        <v/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 t="str">
        <f>IFERROR(__xludf.DUMMYFUNCTION("""COMPUTED_VALUE"""),"")</f>
        <v/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 t="str">
        <f>IFERROR(__xludf.DUMMYFUNCTION("""COMPUTED_VALUE"""),"")</f>
        <v/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 t="str">
        <f>IFERROR(__xludf.DUMMYFUNCTION("""COMPUTED_VALUE"""),"")</f>
        <v/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 t="str">
        <f>IFERROR(__xludf.DUMMYFUNCTION("""COMPUTED_VALUE"""),"")</f>
        <v/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 t="str">
        <f>IFERROR(__xludf.DUMMYFUNCTION("""COMPUTED_VALUE"""),"")</f>
        <v/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 t="str">
        <f>IFERROR(__xludf.DUMMYFUNCTION("""COMPUTED_VALUE"""),"")</f>
        <v/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 t="str">
        <f>IFERROR(__xludf.DUMMYFUNCTION("""COMPUTED_VALUE"""),"")</f>
        <v/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 t="str">
        <f>IFERROR(__xludf.DUMMYFUNCTION("""COMPUTED_VALUE"""),"")</f>
        <v/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 t="str">
        <f>IFERROR(__xludf.DUMMYFUNCTION("""COMPUTED_VALUE"""),"")</f>
        <v/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 t="str">
        <f>IFERROR(__xludf.DUMMYFUNCTION("""COMPUTED_VALUE"""),"")</f>
        <v/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 t="str">
        <f>IFERROR(__xludf.DUMMYFUNCTION("""COMPUTED_VALUE"""),"")</f>
        <v/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 t="str">
        <f>IFERROR(__xludf.DUMMYFUNCTION("""COMPUTED_VALUE"""),"")</f>
        <v/>
      </c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 t="str">
        <f>IFERROR(__xludf.DUMMYFUNCTION("""COMPUTED_VALUE"""),"")</f>
        <v/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 t="str">
        <f>IFERROR(__xludf.DUMMYFUNCTION("""COMPUTED_VALUE"""),"")</f>
        <v/>
      </c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 t="str">
        <f>IFERROR(__xludf.DUMMYFUNCTION("""COMPUTED_VALUE"""),"")</f>
        <v/>
      </c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 t="str">
        <f>IFERROR(__xludf.DUMMYFUNCTION("""COMPUTED_VALUE"""),"")</f>
        <v/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 t="str">
        <f>IFERROR(__xludf.DUMMYFUNCTION("""COMPUTED_VALUE"""),"")</f>
        <v/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 t="str">
        <f>IFERROR(__xludf.DUMMYFUNCTION("""COMPUTED_VALUE"""),"")</f>
        <v/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 t="str">
        <f>IFERROR(__xludf.DUMMYFUNCTION("""COMPUTED_VALUE"""),"")</f>
        <v/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 t="str">
        <f>IFERROR(__xludf.DUMMYFUNCTION("""COMPUTED_VALUE"""),"")</f>
        <v/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 t="str">
        <f>IFERROR(__xludf.DUMMYFUNCTION("""COMPUTED_VALUE"""),"")</f>
        <v/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 t="str">
        <f>IFERROR(__xludf.DUMMYFUNCTION("""COMPUTED_VALUE"""),"")</f>
        <v/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 t="str">
        <f>IFERROR(__xludf.DUMMYFUNCTION("""COMPUTED_VALUE"""),"")</f>
        <v/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 t="str">
        <f>IFERROR(__xludf.DUMMYFUNCTION("""COMPUTED_VALUE"""),"")</f>
        <v/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 t="str">
        <f>IFERROR(__xludf.DUMMYFUNCTION("""COMPUTED_VALUE"""),"")</f>
        <v/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 t="str">
        <f>IFERROR(__xludf.DUMMYFUNCTION("""COMPUTED_VALUE"""),"")</f>
        <v/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 t="str">
        <f>IFERROR(__xludf.DUMMYFUNCTION("""COMPUTED_VALUE"""),"")</f>
        <v/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 t="str">
        <f>IFERROR(__xludf.DUMMYFUNCTION("""COMPUTED_VALUE"""),"")</f>
        <v/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 t="str">
        <f>IFERROR(__xludf.DUMMYFUNCTION("""COMPUTED_VALUE"""),"")</f>
        <v/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 t="str">
        <f>IFERROR(__xludf.DUMMYFUNCTION("""COMPUTED_VALUE"""),"")</f>
        <v/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 t="str">
        <f>IFERROR(__xludf.DUMMYFUNCTION("""COMPUTED_VALUE"""),"")</f>
        <v/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 t="str">
        <f>IFERROR(__xludf.DUMMYFUNCTION("""COMPUTED_VALUE"""),"")</f>
        <v/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 t="str">
        <f>IFERROR(__xludf.DUMMYFUNCTION("""COMPUTED_VALUE"""),"")</f>
        <v/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 t="str">
        <f>IFERROR(__xludf.DUMMYFUNCTION("""COMPUTED_VALUE"""),"")</f>
        <v/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 t="str">
        <f>IFERROR(__xludf.DUMMYFUNCTION("""COMPUTED_VALUE"""),"")</f>
        <v/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 t="str">
        <f>IFERROR(__xludf.DUMMYFUNCTION("""COMPUTED_VALUE"""),"")</f>
        <v/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 t="str">
        <f>IFERROR(__xludf.DUMMYFUNCTION("""COMPUTED_VALUE"""),"")</f>
        <v/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 t="str">
        <f>IFERROR(__xludf.DUMMYFUNCTION("""COMPUTED_VALUE"""),"")</f>
        <v/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 t="str">
        <f>IFERROR(__xludf.DUMMYFUNCTION("""COMPUTED_VALUE"""),"")</f>
        <v/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 t="str">
        <f>IFERROR(__xludf.DUMMYFUNCTION("""COMPUTED_VALUE"""),"")</f>
        <v/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 t="str">
        <f>IFERROR(__xludf.DUMMYFUNCTION("""COMPUTED_VALUE"""),"")</f>
        <v/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 t="str">
        <f>IFERROR(__xludf.DUMMYFUNCTION("""COMPUTED_VALUE"""),"")</f>
        <v/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 t="str">
        <f>IFERROR(__xludf.DUMMYFUNCTION("""COMPUTED_VALUE"""),"")</f>
        <v/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 t="str">
        <f>IFERROR(__xludf.DUMMYFUNCTION("""COMPUTED_VALUE"""),"")</f>
        <v/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 t="str">
        <f>IFERROR(__xludf.DUMMYFUNCTION("""COMPUTED_VALUE"""),"")</f>
        <v/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 t="str">
        <f>IFERROR(__xludf.DUMMYFUNCTION("""COMPUTED_VALUE"""),"")</f>
        <v/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 t="str">
        <f>IFERROR(__xludf.DUMMYFUNCTION("""COMPUTED_VALUE"""),"")</f>
        <v/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 t="str">
        <f>IFERROR(__xludf.DUMMYFUNCTION("""COMPUTED_VALUE"""),"")</f>
        <v/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 t="str">
        <f>IFERROR(__xludf.DUMMYFUNCTION("""COMPUTED_VALUE"""),"")</f>
        <v/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 t="str">
        <f>IFERROR(__xludf.DUMMYFUNCTION("""COMPUTED_VALUE"""),"")</f>
        <v/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 t="str">
        <f>IFERROR(__xludf.DUMMYFUNCTION("""COMPUTED_VALUE"""),"")</f>
        <v/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 t="str">
        <f>IFERROR(__xludf.DUMMYFUNCTION("""COMPUTED_VALUE"""),"")</f>
        <v/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 t="str">
        <f>IFERROR(__xludf.DUMMYFUNCTION("""COMPUTED_VALUE"""),"")</f>
        <v/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 t="str">
        <f>IFERROR(__xludf.DUMMYFUNCTION("""COMPUTED_VALUE"""),"")</f>
        <v/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 t="str">
        <f>IFERROR(__xludf.DUMMYFUNCTION("""COMPUTED_VALUE"""),"")</f>
        <v/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 t="str">
        <f>IFERROR(__xludf.DUMMYFUNCTION("""COMPUTED_VALUE"""),"")</f>
        <v/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 t="str">
        <f>IFERROR(__xludf.DUMMYFUNCTION("""COMPUTED_VALUE"""),"")</f>
        <v/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 t="str">
        <f>IFERROR(__xludf.DUMMYFUNCTION("""COMPUTED_VALUE"""),"")</f>
        <v/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 t="str">
        <f>IFERROR(__xludf.DUMMYFUNCTION("""COMPUTED_VALUE"""),"")</f>
        <v/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 t="str">
        <f>IFERROR(__xludf.DUMMYFUNCTION("""COMPUTED_VALUE"""),"")</f>
        <v/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 t="str">
        <f>IFERROR(__xludf.DUMMYFUNCTION("""COMPUTED_VALUE"""),"")</f>
        <v/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 t="str">
        <f>IFERROR(__xludf.DUMMYFUNCTION("""COMPUTED_VALUE"""),"")</f>
        <v/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 t="str">
        <f>IFERROR(__xludf.DUMMYFUNCTION("""COMPUTED_VALUE"""),"")</f>
        <v/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 t="str">
        <f>IFERROR(__xludf.DUMMYFUNCTION("""COMPUTED_VALUE"""),"")</f>
        <v/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 t="str">
        <f>IFERROR(__xludf.DUMMYFUNCTION("""COMPUTED_VALUE"""),"")</f>
        <v/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 t="str">
        <f>IFERROR(__xludf.DUMMYFUNCTION("""COMPUTED_VALUE"""),"")</f>
        <v/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 t="str">
        <f>IFERROR(__xludf.DUMMYFUNCTION("""COMPUTED_VALUE"""),"")</f>
        <v/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 t="str">
        <f>IFERROR(__xludf.DUMMYFUNCTION("""COMPUTED_VALUE"""),"")</f>
        <v/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 t="str">
        <f>IFERROR(__xludf.DUMMYFUNCTION("""COMPUTED_VALUE"""),"")</f>
        <v/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 t="str">
        <f>IFERROR(__xludf.DUMMYFUNCTION("""COMPUTED_VALUE"""),"")</f>
        <v/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 t="str">
        <f>IFERROR(__xludf.DUMMYFUNCTION("""COMPUTED_VALUE"""),"")</f>
        <v/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 t="str">
        <f>IFERROR(__xludf.DUMMYFUNCTION("""COMPUTED_VALUE"""),"")</f>
        <v/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 t="str">
        <f>IFERROR(__xludf.DUMMYFUNCTION("""COMPUTED_VALUE"""),"")</f>
        <v/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 t="str">
        <f>IFERROR(__xludf.DUMMYFUNCTION("""COMPUTED_VALUE"""),"")</f>
        <v/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 t="str">
        <f>IFERROR(__xludf.DUMMYFUNCTION("""COMPUTED_VALUE"""),"")</f>
        <v/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 t="str">
        <f>IFERROR(__xludf.DUMMYFUNCTION("""COMPUTED_VALUE"""),"")</f>
        <v/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 t="str">
        <f>IFERROR(__xludf.DUMMYFUNCTION("""COMPUTED_VALUE"""),"")</f>
        <v/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 t="str">
        <f>IFERROR(__xludf.DUMMYFUNCTION("""COMPUTED_VALUE"""),"")</f>
        <v/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 t="str">
        <f>IFERROR(__xludf.DUMMYFUNCTION("""COMPUTED_VALUE"""),"")</f>
        <v/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 t="str">
        <f>IFERROR(__xludf.DUMMYFUNCTION("""COMPUTED_VALUE"""),"")</f>
        <v/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 t="str">
        <f>IFERROR(__xludf.DUMMYFUNCTION("""COMPUTED_VALUE"""),"")</f>
        <v/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 t="str">
        <f>IFERROR(__xludf.DUMMYFUNCTION("""COMPUTED_VALUE"""),"")</f>
        <v/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 t="str">
        <f>IFERROR(__xludf.DUMMYFUNCTION("""COMPUTED_VALUE"""),"")</f>
        <v/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 t="str">
        <f>IFERROR(__xludf.DUMMYFUNCTION("""COMPUTED_VALUE"""),"")</f>
        <v/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 t="str">
        <f>IFERROR(__xludf.DUMMYFUNCTION("""COMPUTED_VALUE"""),"")</f>
        <v/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 t="str">
        <f>IFERROR(__xludf.DUMMYFUNCTION("""COMPUTED_VALUE"""),"")</f>
        <v/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 t="str">
        <f>IFERROR(__xludf.DUMMYFUNCTION("""COMPUTED_VALUE"""),"")</f>
        <v/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 t="str">
        <f>IFERROR(__xludf.DUMMYFUNCTION("""COMPUTED_VALUE"""),"")</f>
        <v/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 t="str">
        <f>IFERROR(__xludf.DUMMYFUNCTION("""COMPUTED_VALUE"""),"")</f>
        <v/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 t="str">
        <f>IFERROR(__xludf.DUMMYFUNCTION("""COMPUTED_VALUE"""),"")</f>
        <v/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 t="str">
        <f>IFERROR(__xludf.DUMMYFUNCTION("""COMPUTED_VALUE"""),"")</f>
        <v/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 t="str">
        <f>IFERROR(__xludf.DUMMYFUNCTION("""COMPUTED_VALUE"""),"")</f>
        <v/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 t="str">
        <f>IFERROR(__xludf.DUMMYFUNCTION("""COMPUTED_VALUE"""),"")</f>
        <v/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 t="str">
        <f>IFERROR(__xludf.DUMMYFUNCTION("""COMPUTED_VALUE"""),"")</f>
        <v/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 t="str">
        <f>IFERROR(__xludf.DUMMYFUNCTION("""COMPUTED_VALUE"""),"")</f>
        <v/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 t="str">
        <f>IFERROR(__xludf.DUMMYFUNCTION("""COMPUTED_VALUE"""),"")</f>
        <v/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 t="str">
        <f>IFERROR(__xludf.DUMMYFUNCTION("""COMPUTED_VALUE"""),"")</f>
        <v/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 t="str">
        <f>IFERROR(__xludf.DUMMYFUNCTION("""COMPUTED_VALUE"""),"")</f>
        <v/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 t="str">
        <f>IFERROR(__xludf.DUMMYFUNCTION("""COMPUTED_VALUE"""),"")</f>
        <v/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 t="str">
        <f>IFERROR(__xludf.DUMMYFUNCTION("""COMPUTED_VALUE"""),"")</f>
        <v/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 t="str">
        <f>IFERROR(__xludf.DUMMYFUNCTION("""COMPUTED_VALUE"""),"")</f>
        <v/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 t="str">
        <f>IFERROR(__xludf.DUMMYFUNCTION("""COMPUTED_VALUE"""),"")</f>
        <v/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 t="str">
        <f>IFERROR(__xludf.DUMMYFUNCTION("""COMPUTED_VALUE"""),"")</f>
        <v/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 t="str">
        <f>IFERROR(__xludf.DUMMYFUNCTION("""COMPUTED_VALUE"""),"")</f>
        <v/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 t="str">
        <f>IFERROR(__xludf.DUMMYFUNCTION("""COMPUTED_VALUE"""),"")</f>
        <v/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 t="str">
        <f>IFERROR(__xludf.DUMMYFUNCTION("""COMPUTED_VALUE"""),"")</f>
        <v/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 t="str">
        <f>IFERROR(__xludf.DUMMYFUNCTION("""COMPUTED_VALUE"""),"")</f>
        <v/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 t="str">
        <f>IFERROR(__xludf.DUMMYFUNCTION("""COMPUTED_VALUE"""),"")</f>
        <v/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 t="str">
        <f>IFERROR(__xludf.DUMMYFUNCTION("""COMPUTED_VALUE"""),"")</f>
        <v/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 t="str">
        <f>IFERROR(__xludf.DUMMYFUNCTION("""COMPUTED_VALUE"""),"")</f>
        <v/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 t="str">
        <f>IFERROR(__xludf.DUMMYFUNCTION("""COMPUTED_VALUE"""),"")</f>
        <v/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 t="str">
        <f>IFERROR(__xludf.DUMMYFUNCTION("""COMPUTED_VALUE"""),"")</f>
        <v/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 t="str">
        <f>IFERROR(__xludf.DUMMYFUNCTION("""COMPUTED_VALUE"""),"")</f>
        <v/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 t="str">
        <f>IFERROR(__xludf.DUMMYFUNCTION("""COMPUTED_VALUE"""),"")</f>
        <v/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 t="str">
        <f>IFERROR(__xludf.DUMMYFUNCTION("""COMPUTED_VALUE"""),"")</f>
        <v/>
      </c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 t="str">
        <f>IFERROR(__xludf.DUMMYFUNCTION("""COMPUTED_VALUE"""),"")</f>
        <v/>
      </c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 t="str">
        <f>IFERROR(__xludf.DUMMYFUNCTION("""COMPUTED_VALUE"""),"")</f>
        <v/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 t="str">
        <f>IFERROR(__xludf.DUMMYFUNCTION("""COMPUTED_VALUE"""),"")</f>
        <v/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 t="str">
        <f>IFERROR(__xludf.DUMMYFUNCTION("""COMPUTED_VALUE"""),"")</f>
        <v/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 t="str">
        <f>IFERROR(__xludf.DUMMYFUNCTION("""COMPUTED_VALUE"""),"")</f>
        <v/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 t="str">
        <f>IFERROR(__xludf.DUMMYFUNCTION("""COMPUTED_VALUE"""),"")</f>
        <v/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 t="str">
        <f>IFERROR(__xludf.DUMMYFUNCTION("""COMPUTED_VALUE"""),"")</f>
        <v/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 t="str">
        <f>IFERROR(__xludf.DUMMYFUNCTION("""COMPUTED_VALUE"""),"")</f>
        <v/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 t="str">
        <f>IFERROR(__xludf.DUMMYFUNCTION("""COMPUTED_VALUE"""),"")</f>
        <v/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 t="str">
        <f>IFERROR(__xludf.DUMMYFUNCTION("""COMPUTED_VALUE"""),"")</f>
        <v/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 t="str">
        <f>IFERROR(__xludf.DUMMYFUNCTION("""COMPUTED_VALUE"""),"")</f>
        <v/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 t="str">
        <f>IFERROR(__xludf.DUMMYFUNCTION("""COMPUTED_VALUE"""),"")</f>
        <v/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 t="str">
        <f>IFERROR(__xludf.DUMMYFUNCTION("""COMPUTED_VALUE"""),"")</f>
        <v/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 t="str">
        <f>IFERROR(__xludf.DUMMYFUNCTION("""COMPUTED_VALUE"""),"")</f>
        <v/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 t="str">
        <f>IFERROR(__xludf.DUMMYFUNCTION("""COMPUTED_VALUE"""),"")</f>
        <v/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 t="str">
        <f>IFERROR(__xludf.DUMMYFUNCTION("""COMPUTED_VALUE"""),"")</f>
        <v/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 t="str">
        <f>IFERROR(__xludf.DUMMYFUNCTION("""COMPUTED_VALUE"""),"")</f>
        <v/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 t="str">
        <f>IFERROR(__xludf.DUMMYFUNCTION("""COMPUTED_VALUE"""),"")</f>
        <v/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 t="str">
        <f>IFERROR(__xludf.DUMMYFUNCTION("""COMPUTED_VALUE"""),"")</f>
        <v/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 t="str">
        <f>IFERROR(__xludf.DUMMYFUNCTION("""COMPUTED_VALUE"""),"")</f>
        <v/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 t="str">
        <f>IFERROR(__xludf.DUMMYFUNCTION("""COMPUTED_VALUE"""),"")</f>
        <v/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 t="str">
        <f>IFERROR(__xludf.DUMMYFUNCTION("""COMPUTED_VALUE"""),"")</f>
        <v/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 t="str">
        <f>IFERROR(__xludf.DUMMYFUNCTION("""COMPUTED_VALUE"""),"")</f>
        <v/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 t="str">
        <f>IFERROR(__xludf.DUMMYFUNCTION("""COMPUTED_VALUE"""),"")</f>
        <v/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 t="str">
        <f>IFERROR(__xludf.DUMMYFUNCTION("""COMPUTED_VALUE"""),"")</f>
        <v/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 t="str">
        <f>IFERROR(__xludf.DUMMYFUNCTION("""COMPUTED_VALUE"""),"")</f>
        <v/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 t="str">
        <f>IFERROR(__xludf.DUMMYFUNCTION("""COMPUTED_VALUE"""),"")</f>
        <v/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 t="str">
        <f>IFERROR(__xludf.DUMMYFUNCTION("""COMPUTED_VALUE"""),"")</f>
        <v/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 t="str">
        <f>IFERROR(__xludf.DUMMYFUNCTION("""COMPUTED_VALUE"""),"")</f>
        <v/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 t="str">
        <f>IFERROR(__xludf.DUMMYFUNCTION("""COMPUTED_VALUE"""),"")</f>
        <v/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 t="str">
        <f>IFERROR(__xludf.DUMMYFUNCTION("""COMPUTED_VALUE"""),"")</f>
        <v/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 t="str">
        <f>IFERROR(__xludf.DUMMYFUNCTION("""COMPUTED_VALUE"""),"")</f>
        <v/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 t="str">
        <f>IFERROR(__xludf.DUMMYFUNCTION("""COMPUTED_VALUE"""),"")</f>
        <v/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 t="str">
        <f>IFERROR(__xludf.DUMMYFUNCTION("""COMPUTED_VALUE"""),"")</f>
        <v/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 t="str">
        <f>IFERROR(__xludf.DUMMYFUNCTION("""COMPUTED_VALUE"""),"")</f>
        <v/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 t="str">
        <f>IFERROR(__xludf.DUMMYFUNCTION("""COMPUTED_VALUE"""),"")</f>
        <v/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 t="str">
        <f>IFERROR(__xludf.DUMMYFUNCTION("""COMPUTED_VALUE"""),"")</f>
        <v/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 t="str">
        <f>IFERROR(__xludf.DUMMYFUNCTION("""COMPUTED_VALUE"""),"")</f>
        <v/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 t="str">
        <f>IFERROR(__xludf.DUMMYFUNCTION("""COMPUTED_VALUE"""),"")</f>
        <v/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 t="str">
        <f>IFERROR(__xludf.DUMMYFUNCTION("""COMPUTED_VALUE"""),"")</f>
        <v/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 t="str">
        <f>IFERROR(__xludf.DUMMYFUNCTION("""COMPUTED_VALUE"""),"")</f>
        <v/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 t="str">
        <f>IFERROR(__xludf.DUMMYFUNCTION("""COMPUTED_VALUE"""),"")</f>
        <v/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 t="str">
        <f>IFERROR(__xludf.DUMMYFUNCTION("""COMPUTED_VALUE"""),"")</f>
        <v/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 t="str">
        <f>IFERROR(__xludf.DUMMYFUNCTION("""COMPUTED_VALUE"""),"")</f>
        <v/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 t="str">
        <f>IFERROR(__xludf.DUMMYFUNCTION("""COMPUTED_VALUE"""),"")</f>
        <v/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 t="str">
        <f>IFERROR(__xludf.DUMMYFUNCTION("""COMPUTED_VALUE"""),"")</f>
        <v/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 t="str">
        <f>IFERROR(__xludf.DUMMYFUNCTION("""COMPUTED_VALUE"""),"")</f>
        <v/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 t="str">
        <f>IFERROR(__xludf.DUMMYFUNCTION("""COMPUTED_VALUE"""),"")</f>
        <v/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 t="str">
        <f>IFERROR(__xludf.DUMMYFUNCTION("""COMPUTED_VALUE"""),"")</f>
        <v/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 t="str">
        <f>IFERROR(__xludf.DUMMYFUNCTION("""COMPUTED_VALUE"""),"")</f>
        <v/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 t="str">
        <f>IFERROR(__xludf.DUMMYFUNCTION("""COMPUTED_VALUE"""),"")</f>
        <v/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 t="str">
        <f>IFERROR(__xludf.DUMMYFUNCTION("""COMPUTED_VALUE"""),"")</f>
        <v/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 t="str">
        <f>IFERROR(__xludf.DUMMYFUNCTION("""COMPUTED_VALUE"""),"")</f>
        <v/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 t="str">
        <f>IFERROR(__xludf.DUMMYFUNCTION("""COMPUTED_VALUE"""),"")</f>
        <v/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 t="str">
        <f>IFERROR(__xludf.DUMMYFUNCTION("""COMPUTED_VALUE"""),"")</f>
        <v/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 t="str">
        <f>IFERROR(__xludf.DUMMYFUNCTION("""COMPUTED_VALUE"""),"")</f>
        <v/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 t="str">
        <f>IFERROR(__xludf.DUMMYFUNCTION("""COMPUTED_VALUE"""),"")</f>
        <v/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 t="str">
        <f>IFERROR(__xludf.DUMMYFUNCTION("""COMPUTED_VALUE"""),"")</f>
        <v/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 t="str">
        <f>IFERROR(__xludf.DUMMYFUNCTION("""COMPUTED_VALUE"""),"")</f>
        <v/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 t="str">
        <f>IFERROR(__xludf.DUMMYFUNCTION("""COMPUTED_VALUE"""),"")</f>
        <v/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 t="str">
        <f>IFERROR(__xludf.DUMMYFUNCTION("""COMPUTED_VALUE"""),"")</f>
        <v/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 t="str">
        <f>IFERROR(__xludf.DUMMYFUNCTION("""COMPUTED_VALUE"""),"")</f>
        <v/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 t="str">
        <f>IFERROR(__xludf.DUMMYFUNCTION("""COMPUTED_VALUE"""),"")</f>
        <v/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 t="str">
        <f>IFERROR(__xludf.DUMMYFUNCTION("""COMPUTED_VALUE"""),"")</f>
        <v/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 t="str">
        <f>IFERROR(__xludf.DUMMYFUNCTION("""COMPUTED_VALUE"""),"")</f>
        <v/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 t="str">
        <f>IFERROR(__xludf.DUMMYFUNCTION("""COMPUTED_VALUE"""),"")</f>
        <v/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 t="str">
        <f>IFERROR(__xludf.DUMMYFUNCTION("""COMPUTED_VALUE"""),"")</f>
        <v/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 t="str">
        <f>IFERROR(__xludf.DUMMYFUNCTION("""COMPUTED_VALUE"""),"")</f>
        <v/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 t="str">
        <f>IFERROR(__xludf.DUMMYFUNCTION("""COMPUTED_VALUE"""),"")</f>
        <v/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 t="str">
        <f>IFERROR(__xludf.DUMMYFUNCTION("""COMPUTED_VALUE"""),"")</f>
        <v/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 t="str">
        <f>IFERROR(__xludf.DUMMYFUNCTION("""COMPUTED_VALUE"""),"")</f>
        <v/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 t="str">
        <f>IFERROR(__xludf.DUMMYFUNCTION("""COMPUTED_VALUE"""),"")</f>
        <v/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 t="str">
        <f>IFERROR(__xludf.DUMMYFUNCTION("""COMPUTED_VALUE"""),"")</f>
        <v/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 t="str">
        <f>IFERROR(__xludf.DUMMYFUNCTION("""COMPUTED_VALUE"""),"")</f>
        <v/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 t="str">
        <f>IFERROR(__xludf.DUMMYFUNCTION("""COMPUTED_VALUE"""),"")</f>
        <v/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 t="str">
        <f>IFERROR(__xludf.DUMMYFUNCTION("""COMPUTED_VALUE"""),"")</f>
        <v/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 t="str">
        <f>IFERROR(__xludf.DUMMYFUNCTION("""COMPUTED_VALUE"""),"")</f>
        <v/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 t="str">
        <f>IFERROR(__xludf.DUMMYFUNCTION("""COMPUTED_VALUE"""),"")</f>
        <v/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 t="str">
        <f>IFERROR(__xludf.DUMMYFUNCTION("""COMPUTED_VALUE"""),"")</f>
        <v/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 t="str">
        <f>IFERROR(__xludf.DUMMYFUNCTION("""COMPUTED_VALUE"""),"")</f>
        <v/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 t="str">
        <f>IFERROR(__xludf.DUMMYFUNCTION("""COMPUTED_VALUE"""),"")</f>
        <v/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 t="str">
        <f>IFERROR(__xludf.DUMMYFUNCTION("""COMPUTED_VALUE"""),"")</f>
        <v/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 t="str">
        <f>IFERROR(__xludf.DUMMYFUNCTION("""COMPUTED_VALUE"""),"")</f>
        <v/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 t="str">
        <f>IFERROR(__xludf.DUMMYFUNCTION("""COMPUTED_VALUE"""),"")</f>
        <v/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 t="str">
        <f>IFERROR(__xludf.DUMMYFUNCTION("""COMPUTED_VALUE"""),"")</f>
        <v/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 t="str">
        <f>IFERROR(__xludf.DUMMYFUNCTION("""COMPUTED_VALUE"""),"")</f>
        <v/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 t="str">
        <f>IFERROR(__xludf.DUMMYFUNCTION("""COMPUTED_VALUE"""),"")</f>
        <v/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 t="str">
        <f>IFERROR(__xludf.DUMMYFUNCTION("""COMPUTED_VALUE"""),"")</f>
        <v/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 t="str">
        <f>IFERROR(__xludf.DUMMYFUNCTION("""COMPUTED_VALUE"""),"")</f>
        <v/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 t="str">
        <f>IFERROR(__xludf.DUMMYFUNCTION("""COMPUTED_VALUE"""),"")</f>
        <v/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 t="str">
        <f>IFERROR(__xludf.DUMMYFUNCTION("""COMPUTED_VALUE"""),"")</f>
        <v/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 t="str">
        <f>IFERROR(__xludf.DUMMYFUNCTION("""COMPUTED_VALUE"""),"")</f>
        <v/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 t="str">
        <f>IFERROR(__xludf.DUMMYFUNCTION("""COMPUTED_VALUE"""),"")</f>
        <v/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 t="str">
        <f>IFERROR(__xludf.DUMMYFUNCTION("""COMPUTED_VALUE"""),"")</f>
        <v/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 t="str">
        <f>IFERROR(__xludf.DUMMYFUNCTION("""COMPUTED_VALUE"""),"")</f>
        <v/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 t="str">
        <f>IFERROR(__xludf.DUMMYFUNCTION("""COMPUTED_VALUE"""),"")</f>
        <v/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 t="str">
        <f>IFERROR(__xludf.DUMMYFUNCTION("""COMPUTED_VALUE"""),"")</f>
        <v/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 t="str">
        <f>IFERROR(__xludf.DUMMYFUNCTION("""COMPUTED_VALUE"""),"")</f>
        <v/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 t="str">
        <f>IFERROR(__xludf.DUMMYFUNCTION("""COMPUTED_VALUE"""),"")</f>
        <v/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 t="str">
        <f>IFERROR(__xludf.DUMMYFUNCTION("""COMPUTED_VALUE"""),"")</f>
        <v/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 t="str">
        <f>IFERROR(__xludf.DUMMYFUNCTION("""COMPUTED_VALUE"""),"")</f>
        <v/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 t="str">
        <f>IFERROR(__xludf.DUMMYFUNCTION("""COMPUTED_VALUE"""),"")</f>
        <v/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 t="str">
        <f>IFERROR(__xludf.DUMMYFUNCTION("""COMPUTED_VALUE"""),"")</f>
        <v/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 t="str">
        <f>IFERROR(__xludf.DUMMYFUNCTION("""COMPUTED_VALUE"""),"")</f>
        <v/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 t="str">
        <f>IFERROR(__xludf.DUMMYFUNCTION("""COMPUTED_VALUE"""),"")</f>
        <v/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 t="str">
        <f>IFERROR(__xludf.DUMMYFUNCTION("""COMPUTED_VALUE"""),"")</f>
        <v/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 t="str">
        <f>IFERROR(__xludf.DUMMYFUNCTION("""COMPUTED_VALUE"""),"")</f>
        <v/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 t="str">
        <f>IFERROR(__xludf.DUMMYFUNCTION("""COMPUTED_VALUE"""),"")</f>
        <v/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 t="str">
        <f>IFERROR(__xludf.DUMMYFUNCTION("""COMPUTED_VALUE"""),"")</f>
        <v/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 t="str">
        <f>IFERROR(__xludf.DUMMYFUNCTION("""COMPUTED_VALUE"""),"")</f>
        <v/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 t="str">
        <f>IFERROR(__xludf.DUMMYFUNCTION("""COMPUTED_VALUE"""),"")</f>
        <v/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 t="str">
        <f>IFERROR(__xludf.DUMMYFUNCTION("""COMPUTED_VALUE"""),"")</f>
        <v/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 t="str">
        <f>IFERROR(__xludf.DUMMYFUNCTION("""COMPUTED_VALUE"""),"")</f>
        <v/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 t="str">
        <f>IFERROR(__xludf.DUMMYFUNCTION("""COMPUTED_VALUE"""),"")</f>
        <v/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 t="str">
        <f>IFERROR(__xludf.DUMMYFUNCTION("""COMPUTED_VALUE"""),"")</f>
        <v/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 t="str">
        <f>IFERROR(__xludf.DUMMYFUNCTION("""COMPUTED_VALUE"""),"")</f>
        <v/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 t="str">
        <f>IFERROR(__xludf.DUMMYFUNCTION("""COMPUTED_VALUE"""),"")</f>
        <v/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 t="str">
        <f>IFERROR(__xludf.DUMMYFUNCTION("""COMPUTED_VALUE"""),"")</f>
        <v/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 t="str">
        <f>IFERROR(__xludf.DUMMYFUNCTION("""COMPUTED_VALUE"""),"")</f>
        <v/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 t="str">
        <f>IFERROR(__xludf.DUMMYFUNCTION("""COMPUTED_VALUE"""),"")</f>
        <v/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 t="str">
        <f>IFERROR(__xludf.DUMMYFUNCTION("""COMPUTED_VALUE"""),"")</f>
        <v/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 t="str">
        <f>IFERROR(__xludf.DUMMYFUNCTION("""COMPUTED_VALUE"""),"")</f>
        <v/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 t="str">
        <f>IFERROR(__xludf.DUMMYFUNCTION("""COMPUTED_VALUE"""),"")</f>
        <v/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 t="str">
        <f>IFERROR(__xludf.DUMMYFUNCTION("""COMPUTED_VALUE"""),"")</f>
        <v/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 t="str">
        <f>IFERROR(__xludf.DUMMYFUNCTION("""COMPUTED_VALUE"""),"")</f>
        <v/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 t="str">
        <f>IFERROR(__xludf.DUMMYFUNCTION("""COMPUTED_VALUE"""),"")</f>
        <v/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 t="str">
        <f>IFERROR(__xludf.DUMMYFUNCTION("""COMPUTED_VALUE"""),"")</f>
        <v/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 t="str">
        <f>IFERROR(__xludf.DUMMYFUNCTION("""COMPUTED_VALUE"""),"")</f>
        <v/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 t="str">
        <f>IFERROR(__xludf.DUMMYFUNCTION("""COMPUTED_VALUE"""),"")</f>
        <v/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 t="str">
        <f>IFERROR(__xludf.DUMMYFUNCTION("""COMPUTED_VALUE"""),"")</f>
        <v/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 t="str">
        <f>IFERROR(__xludf.DUMMYFUNCTION("""COMPUTED_VALUE"""),"")</f>
        <v/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 t="str">
        <f>IFERROR(__xludf.DUMMYFUNCTION("""COMPUTED_VALUE"""),"")</f>
        <v/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B5:B35">
    <cfRule type="cellIs" dxfId="4" priority="1" stopIfTrue="1" operator="equal">
      <formula>0</formula>
    </cfRule>
  </conditionalFormatting>
  <conditionalFormatting sqref="J2">
    <cfRule type="cellIs" dxfId="5" priority="2" stopIfTrue="1" operator="greaterThan">
      <formula>8</formula>
    </cfRule>
  </conditionalFormatting>
  <conditionalFormatting sqref="J2">
    <cfRule type="cellIs" dxfId="6" priority="3" stopIfTrue="1" operator="between">
      <formula>7</formula>
      <formula>7.99</formula>
    </cfRule>
  </conditionalFormatting>
  <conditionalFormatting sqref="J2">
    <cfRule type="cellIs" dxfId="7" priority="4" stopIfTrue="1" operator="lessThan">
      <formula>7</formula>
    </cfRule>
  </conditionalFormatting>
  <dataValidations>
    <dataValidation type="list" allowBlank="1" showErrorMessage="1" sqref="A2">
      <formula1>"Jan,Feb,Mar,Apr,May,Jun,Jul,Aug,Sep,Oct,Nov,Dec"</formula1>
    </dataValidation>
    <dataValidation type="list" allowBlank="1" showErrorMessage="1" sqref="B2">
      <formula1>"2026,2027,2028,2029,2030"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86" width="2.38"/>
  </cols>
  <sheetData>
    <row r="1">
      <c r="A1" s="73" t="s">
        <v>340</v>
      </c>
    </row>
    <row r="2">
      <c r="A2" s="74" t="s">
        <v>341</v>
      </c>
      <c r="B2" s="75"/>
      <c r="H2" s="75"/>
      <c r="I2" s="75"/>
      <c r="N2" s="75"/>
      <c r="P2" s="75"/>
      <c r="U2" s="75"/>
      <c r="X2" s="75"/>
      <c r="AA2" s="75"/>
      <c r="AE2" s="75"/>
      <c r="AG2" s="75"/>
      <c r="AL2" s="75"/>
      <c r="AM2" s="75"/>
      <c r="AS2" s="75"/>
      <c r="AZ2" s="75"/>
      <c r="BF2" s="75"/>
      <c r="BH2" s="75"/>
      <c r="BI2" s="75"/>
      <c r="BJ2" s="75"/>
      <c r="BK2" s="75"/>
      <c r="BL2" s="75"/>
      <c r="BM2" s="75"/>
      <c r="BN2" s="75"/>
      <c r="BO2" s="75"/>
      <c r="BP2" s="75"/>
      <c r="BQ2" s="75"/>
      <c r="BR2" s="75"/>
      <c r="BS2" s="75"/>
      <c r="BT2" s="75"/>
      <c r="BU2" s="75"/>
      <c r="BV2" s="75"/>
      <c r="BW2" s="75"/>
      <c r="BX2" s="75"/>
      <c r="BY2" s="75"/>
      <c r="BZ2" s="75"/>
      <c r="CA2" s="75"/>
      <c r="CB2" s="75"/>
      <c r="CC2" s="75"/>
      <c r="CD2" s="75"/>
      <c r="CE2" s="75"/>
      <c r="CF2" s="75"/>
      <c r="CG2" s="75"/>
      <c r="CH2" s="75"/>
    </row>
    <row r="3" ht="13.5" customHeight="1">
      <c r="A3" s="75"/>
      <c r="B3" s="76" t="s">
        <v>342</v>
      </c>
      <c r="C3" s="75"/>
      <c r="D3" s="75"/>
      <c r="E3" s="75"/>
      <c r="F3" s="75"/>
      <c r="G3" s="75"/>
      <c r="H3" s="76" t="s">
        <v>343</v>
      </c>
      <c r="I3" s="75"/>
      <c r="J3" s="75"/>
      <c r="K3" s="75"/>
      <c r="L3" s="75"/>
      <c r="M3" s="75"/>
      <c r="N3" s="76" t="s">
        <v>344</v>
      </c>
      <c r="O3" s="75"/>
      <c r="P3" s="75"/>
      <c r="Q3" s="75"/>
      <c r="R3" s="75"/>
      <c r="S3" s="75"/>
      <c r="T3" s="75"/>
      <c r="U3" s="76" t="s">
        <v>338</v>
      </c>
      <c r="V3" s="75"/>
      <c r="W3" s="75"/>
      <c r="X3" s="75"/>
      <c r="Y3" s="75"/>
      <c r="Z3" s="75"/>
      <c r="AA3" s="76" t="s">
        <v>345</v>
      </c>
      <c r="AB3" s="75"/>
      <c r="AC3" s="75"/>
      <c r="AD3" s="75"/>
      <c r="AE3" s="75"/>
      <c r="AF3" s="75"/>
      <c r="AG3" s="76" t="s">
        <v>346</v>
      </c>
      <c r="AH3" s="75"/>
      <c r="AI3" s="75"/>
      <c r="AJ3" s="75"/>
      <c r="AK3" s="75"/>
      <c r="AL3" s="75"/>
      <c r="AM3" s="76" t="s">
        <v>347</v>
      </c>
      <c r="AN3" s="75"/>
      <c r="AO3" s="75"/>
      <c r="AP3" s="75"/>
      <c r="AQ3" s="75"/>
      <c r="AR3" s="75"/>
      <c r="AS3" s="76" t="s">
        <v>348</v>
      </c>
      <c r="AT3" s="75"/>
      <c r="AU3" s="75"/>
      <c r="AV3" s="75"/>
      <c r="AW3" s="75"/>
      <c r="AX3" s="75"/>
      <c r="AY3" s="75"/>
      <c r="AZ3" s="76" t="s">
        <v>349</v>
      </c>
      <c r="BA3" s="75"/>
      <c r="BB3" s="75"/>
      <c r="BC3" s="75"/>
      <c r="BD3" s="75"/>
      <c r="BE3" s="75"/>
      <c r="BF3" s="76" t="s">
        <v>350</v>
      </c>
      <c r="BG3" s="75"/>
      <c r="BH3" s="75"/>
      <c r="BI3" s="75"/>
      <c r="BJ3" s="75"/>
      <c r="BK3" s="75"/>
      <c r="BL3" s="76" t="s">
        <v>351</v>
      </c>
      <c r="BM3" s="75"/>
      <c r="BN3" s="75"/>
      <c r="BO3" s="75"/>
      <c r="BP3" s="75"/>
      <c r="BQ3" s="75"/>
      <c r="BR3" s="75"/>
      <c r="BS3" s="76" t="s">
        <v>352</v>
      </c>
      <c r="BT3" s="75"/>
      <c r="BU3" s="75"/>
      <c r="BV3" s="75"/>
      <c r="BW3" s="75"/>
      <c r="BX3" s="75"/>
      <c r="BY3" s="75"/>
      <c r="BZ3" s="75"/>
      <c r="CA3" s="75"/>
      <c r="CB3" s="75"/>
      <c r="CC3" s="75"/>
      <c r="CD3" s="75"/>
      <c r="CE3" s="75"/>
      <c r="CF3" s="75"/>
      <c r="CG3" s="75"/>
      <c r="CH3" s="75"/>
    </row>
    <row r="4" ht="13.5" customHeight="1">
      <c r="A4" s="75"/>
    </row>
    <row r="5" ht="13.5" customHeight="1">
      <c r="A5" s="76" t="s">
        <v>353</v>
      </c>
      <c r="C5" s="77"/>
      <c r="D5" s="78"/>
      <c r="E5" s="79"/>
      <c r="F5" s="80"/>
      <c r="I5" s="81"/>
      <c r="J5" s="82"/>
      <c r="K5" s="83"/>
      <c r="L5" s="84"/>
      <c r="O5" s="85"/>
      <c r="P5" s="86"/>
      <c r="Q5" s="87"/>
      <c r="R5" s="88"/>
      <c r="S5" s="78"/>
      <c r="V5" s="89"/>
      <c r="W5" s="90"/>
      <c r="X5" s="90"/>
      <c r="Y5" s="90"/>
      <c r="AB5" s="90"/>
      <c r="AC5" s="90"/>
      <c r="AD5" s="90"/>
      <c r="AE5" s="90"/>
      <c r="AG5" s="90"/>
      <c r="AH5" s="90"/>
      <c r="AI5" s="90"/>
      <c r="AJ5" s="90"/>
      <c r="AK5" s="90"/>
      <c r="AN5" s="90"/>
      <c r="AO5" s="90"/>
      <c r="AP5" s="90"/>
      <c r="AQ5" s="90"/>
      <c r="AT5" s="90"/>
      <c r="AU5" s="90"/>
      <c r="AV5" s="90"/>
      <c r="AW5" s="90"/>
      <c r="AX5" s="90"/>
      <c r="BA5" s="90"/>
      <c r="BB5" s="90"/>
      <c r="BC5" s="90"/>
      <c r="BD5" s="90"/>
      <c r="BG5" s="90"/>
      <c r="BH5" s="90"/>
      <c r="BI5" s="90"/>
      <c r="BJ5" s="90"/>
      <c r="BM5" s="90"/>
      <c r="BN5" s="90"/>
      <c r="BO5" s="90"/>
      <c r="BP5" s="90"/>
      <c r="BQ5" s="90"/>
      <c r="BT5" s="90"/>
      <c r="BU5" s="90"/>
      <c r="BV5" s="90"/>
      <c r="BW5" s="90"/>
    </row>
    <row r="6" ht="13.5" customHeight="1">
      <c r="A6" s="76" t="s">
        <v>354</v>
      </c>
      <c r="C6" s="91"/>
      <c r="D6" s="92"/>
      <c r="E6" s="93"/>
      <c r="F6" s="94"/>
      <c r="I6" s="95"/>
      <c r="J6" s="96"/>
      <c r="K6" s="97"/>
      <c r="L6" s="98"/>
      <c r="O6" s="99"/>
      <c r="P6" s="100"/>
      <c r="Q6" s="101"/>
      <c r="R6" s="102"/>
      <c r="S6" s="103"/>
      <c r="V6" s="104"/>
      <c r="W6" s="90"/>
      <c r="X6" s="90"/>
      <c r="Y6" s="90"/>
      <c r="AB6" s="90"/>
      <c r="AC6" s="90"/>
      <c r="AD6" s="90"/>
      <c r="AE6" s="90"/>
      <c r="AG6" s="90"/>
      <c r="AH6" s="90"/>
      <c r="AI6" s="90"/>
      <c r="AJ6" s="90"/>
      <c r="AK6" s="90"/>
      <c r="AN6" s="90"/>
      <c r="AO6" s="90"/>
      <c r="AP6" s="90"/>
      <c r="AQ6" s="90"/>
      <c r="AT6" s="90"/>
      <c r="AU6" s="90"/>
      <c r="AV6" s="90"/>
      <c r="AW6" s="90"/>
      <c r="AZ6" s="90"/>
      <c r="BA6" s="90"/>
      <c r="BB6" s="90"/>
      <c r="BC6" s="90"/>
      <c r="BD6" s="90"/>
      <c r="BG6" s="90"/>
      <c r="BH6" s="90"/>
      <c r="BI6" s="90"/>
      <c r="BJ6" s="90"/>
      <c r="BM6" s="90"/>
      <c r="BN6" s="90"/>
      <c r="BO6" s="90"/>
      <c r="BP6" s="90"/>
      <c r="BS6" s="90"/>
      <c r="BT6" s="90"/>
      <c r="BU6" s="90"/>
      <c r="BV6" s="90"/>
      <c r="BW6" s="90"/>
    </row>
    <row r="7" ht="13.5" customHeight="1">
      <c r="A7" s="76" t="s">
        <v>355</v>
      </c>
      <c r="C7" s="105"/>
      <c r="D7" s="106"/>
      <c r="E7" s="107"/>
      <c r="F7" s="108"/>
      <c r="I7" s="109"/>
      <c r="J7" s="110"/>
      <c r="K7" s="111"/>
      <c r="L7" s="112"/>
      <c r="O7" s="113"/>
      <c r="P7" s="109"/>
      <c r="Q7" s="114"/>
      <c r="R7" s="115"/>
      <c r="U7" s="116"/>
      <c r="V7" s="117"/>
      <c r="W7" s="90"/>
      <c r="X7" s="90"/>
      <c r="Y7" s="90"/>
      <c r="AB7" s="90"/>
      <c r="AC7" s="90"/>
      <c r="AD7" s="90"/>
      <c r="AE7" s="90"/>
      <c r="AG7" s="90"/>
      <c r="AH7" s="90"/>
      <c r="AI7" s="90"/>
      <c r="AJ7" s="90"/>
      <c r="AM7" s="90"/>
      <c r="AN7" s="90"/>
      <c r="AO7" s="90"/>
      <c r="AP7" s="90"/>
      <c r="AQ7" s="90"/>
      <c r="AT7" s="90"/>
      <c r="AU7" s="90"/>
      <c r="AV7" s="90"/>
      <c r="AW7" s="90"/>
      <c r="AZ7" s="90"/>
      <c r="BA7" s="90"/>
      <c r="BB7" s="90"/>
      <c r="BC7" s="90"/>
      <c r="BD7" s="90"/>
      <c r="BG7" s="90"/>
      <c r="BH7" s="90"/>
      <c r="BI7" s="90"/>
      <c r="BJ7" s="90"/>
      <c r="BM7" s="90"/>
      <c r="BN7" s="90"/>
      <c r="BO7" s="90"/>
      <c r="BP7" s="90"/>
      <c r="BS7" s="90"/>
      <c r="BT7" s="90"/>
      <c r="BU7" s="90"/>
      <c r="BV7" s="90"/>
      <c r="BW7" s="90"/>
    </row>
    <row r="8" ht="13.5" customHeight="1">
      <c r="A8" s="76" t="s">
        <v>356</v>
      </c>
      <c r="B8" s="118"/>
      <c r="C8" s="119"/>
      <c r="D8" s="92"/>
      <c r="E8" s="85"/>
      <c r="F8" s="98"/>
      <c r="I8" s="120"/>
      <c r="J8" s="110"/>
      <c r="K8" s="121"/>
      <c r="L8" s="122"/>
      <c r="O8" s="123"/>
      <c r="P8" s="124"/>
      <c r="Q8" s="125"/>
      <c r="R8" s="126"/>
      <c r="U8" s="81"/>
      <c r="V8" s="127"/>
      <c r="W8" s="90"/>
      <c r="X8" s="90"/>
      <c r="Y8" s="90"/>
      <c r="AB8" s="90"/>
      <c r="AC8" s="90"/>
      <c r="AD8" s="90"/>
      <c r="AE8" s="90"/>
      <c r="AG8" s="90"/>
      <c r="AH8" s="90"/>
      <c r="AI8" s="90"/>
      <c r="AJ8" s="90"/>
      <c r="AM8" s="90"/>
      <c r="AN8" s="90"/>
      <c r="AO8" s="90"/>
      <c r="AP8" s="90"/>
      <c r="AQ8" s="90"/>
      <c r="AT8" s="90"/>
      <c r="AU8" s="90"/>
      <c r="AV8" s="90"/>
      <c r="AW8" s="90"/>
      <c r="AZ8" s="90"/>
      <c r="BA8" s="90"/>
      <c r="BB8" s="90"/>
      <c r="BC8" s="90"/>
      <c r="BF8" s="90"/>
      <c r="BG8" s="90"/>
      <c r="BH8" s="90"/>
      <c r="BI8" s="90"/>
      <c r="BJ8" s="90"/>
      <c r="BM8" s="90"/>
      <c r="BN8" s="90"/>
      <c r="BO8" s="90"/>
      <c r="BP8" s="90"/>
      <c r="BS8" s="90"/>
      <c r="BT8" s="90"/>
      <c r="BU8" s="90"/>
      <c r="BV8" s="90"/>
      <c r="BW8" s="90"/>
    </row>
    <row r="9" ht="13.5" customHeight="1">
      <c r="A9" s="76" t="s">
        <v>357</v>
      </c>
      <c r="B9" s="128"/>
      <c r="C9" s="129"/>
      <c r="D9" s="130"/>
      <c r="E9" s="131"/>
      <c r="F9" s="132"/>
      <c r="I9" s="133"/>
      <c r="J9" s="134"/>
      <c r="K9" s="129"/>
      <c r="L9" s="93"/>
      <c r="O9" s="135"/>
      <c r="P9" s="99"/>
      <c r="Q9" s="136"/>
      <c r="R9" s="137"/>
      <c r="U9" s="138"/>
      <c r="V9" s="139"/>
      <c r="W9" s="90"/>
      <c r="X9" s="90"/>
      <c r="AA9" s="90"/>
      <c r="AB9" s="90"/>
      <c r="AC9" s="90"/>
      <c r="AD9" s="90"/>
      <c r="AE9" s="90"/>
      <c r="AG9" s="90"/>
      <c r="AH9" s="90"/>
      <c r="AI9" s="90"/>
      <c r="AJ9" s="90"/>
      <c r="AM9" s="90"/>
      <c r="AN9" s="90"/>
      <c r="AO9" s="90"/>
      <c r="AP9" s="90"/>
      <c r="AQ9" s="90"/>
      <c r="AT9" s="90"/>
      <c r="AU9" s="90"/>
      <c r="AV9" s="90"/>
      <c r="AW9" s="90"/>
      <c r="AZ9" s="90"/>
      <c r="BA9" s="90"/>
      <c r="BB9" s="90"/>
      <c r="BC9" s="90"/>
      <c r="BF9" s="90"/>
      <c r="BG9" s="90"/>
      <c r="BH9" s="90"/>
      <c r="BI9" s="90"/>
      <c r="BJ9" s="90"/>
      <c r="BM9" s="90"/>
      <c r="BN9" s="90"/>
      <c r="BO9" s="90"/>
      <c r="BP9" s="90"/>
      <c r="BS9" s="90"/>
      <c r="BT9" s="90"/>
      <c r="BU9" s="90"/>
      <c r="BV9" s="90"/>
    </row>
    <row r="10" ht="13.5" customHeight="1">
      <c r="A10" s="76" t="s">
        <v>358</v>
      </c>
      <c r="B10" s="140"/>
      <c r="C10" s="141"/>
      <c r="D10" s="80"/>
      <c r="E10" s="120"/>
      <c r="F10" s="142"/>
      <c r="I10" s="143"/>
      <c r="J10" s="144"/>
      <c r="K10" s="145"/>
      <c r="L10" s="85"/>
      <c r="O10" s="136"/>
      <c r="P10" s="140"/>
      <c r="Q10" s="146"/>
      <c r="R10" s="147"/>
      <c r="U10" s="89"/>
      <c r="V10" s="148"/>
      <c r="W10" s="90"/>
      <c r="X10" s="90"/>
      <c r="AA10" s="90"/>
      <c r="AB10" s="90"/>
      <c r="AC10" s="90"/>
      <c r="AD10" s="90"/>
      <c r="AE10" s="90"/>
      <c r="AG10" s="90"/>
      <c r="AH10" s="90"/>
      <c r="AI10" s="90"/>
      <c r="AJ10" s="90"/>
      <c r="AM10" s="90"/>
      <c r="AN10" s="90"/>
      <c r="AO10" s="90"/>
      <c r="AP10" s="90"/>
      <c r="AS10" s="90"/>
      <c r="AT10" s="90"/>
      <c r="AU10" s="90"/>
      <c r="AV10" s="90"/>
      <c r="AW10" s="90"/>
      <c r="AZ10" s="90"/>
      <c r="BA10" s="90"/>
      <c r="BB10" s="90"/>
      <c r="BC10" s="90"/>
      <c r="BF10" s="90"/>
      <c r="BG10" s="90"/>
      <c r="BH10" s="90"/>
      <c r="BI10" s="90"/>
      <c r="BJ10" s="90"/>
      <c r="BM10" s="90"/>
      <c r="BN10" s="90"/>
      <c r="BO10" s="90"/>
      <c r="BP10" s="90"/>
      <c r="BS10" s="90"/>
      <c r="BT10" s="90"/>
      <c r="BU10" s="90"/>
      <c r="BV10" s="90"/>
    </row>
    <row r="11" ht="13.5" customHeight="1">
      <c r="A11" s="76" t="s">
        <v>359</v>
      </c>
      <c r="B11" s="149"/>
      <c r="C11" s="89"/>
      <c r="D11" s="99"/>
      <c r="E11" s="139"/>
      <c r="H11" s="150"/>
      <c r="I11" s="135"/>
      <c r="J11" s="151"/>
      <c r="K11" s="152"/>
      <c r="N11" s="153"/>
      <c r="O11" s="119"/>
      <c r="P11" s="151"/>
      <c r="Q11" s="154"/>
      <c r="R11" s="129"/>
      <c r="U11" s="155"/>
      <c r="V11" s="103"/>
      <c r="W11" s="90"/>
      <c r="X11" s="90"/>
      <c r="AA11" s="90"/>
      <c r="AB11" s="90"/>
      <c r="AC11" s="90"/>
      <c r="AD11" s="90"/>
      <c r="AE11" s="90"/>
      <c r="AG11" s="90"/>
      <c r="AH11" s="90"/>
      <c r="AI11" s="90"/>
      <c r="AJ11" s="90"/>
      <c r="AM11" s="90"/>
      <c r="AN11" s="90"/>
      <c r="AO11" s="90"/>
      <c r="AP11" s="90"/>
      <c r="AS11" s="90"/>
      <c r="AT11" s="90"/>
      <c r="AU11" s="90"/>
      <c r="AV11" s="90"/>
      <c r="AW11" s="90"/>
      <c r="AZ11" s="90"/>
      <c r="BA11" s="90"/>
      <c r="BB11" s="90"/>
      <c r="BC11" s="90"/>
      <c r="BF11" s="90"/>
      <c r="BG11" s="90"/>
      <c r="BH11" s="90"/>
      <c r="BI11" s="90"/>
      <c r="BL11" s="90"/>
      <c r="BM11" s="90"/>
      <c r="BN11" s="90"/>
      <c r="BO11" s="90"/>
      <c r="BP11" s="90"/>
      <c r="BS11" s="90"/>
      <c r="BT11" s="90"/>
      <c r="BU11" s="90"/>
      <c r="BV11" s="90"/>
    </row>
    <row r="12">
      <c r="A12" s="75"/>
    </row>
    <row r="13">
      <c r="A13" s="75"/>
    </row>
    <row r="14">
      <c r="A14" s="75"/>
    </row>
    <row r="15">
      <c r="A15" s="75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56" t="s">
        <v>360</v>
      </c>
      <c r="C1" s="2"/>
      <c r="D1" s="2"/>
      <c r="E1" s="2"/>
      <c r="F1" s="2"/>
      <c r="G1" s="1" t="s">
        <v>25</v>
      </c>
      <c r="H1" s="1" t="s">
        <v>361</v>
      </c>
      <c r="I1" s="1" t="s">
        <v>362</v>
      </c>
      <c r="J1" s="1" t="s">
        <v>363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57">
        <f t="array" ref="A2">DATE('Monthly Analysis'!B2, MATCH('Monthly Analysis'!A2, {"Jan","Feb","Mar","Apr","May","Jun","Jul","Aug","Sep","Oct","Nov","Dec"}, 0), 1)
</f>
        <v>46113</v>
      </c>
      <c r="B2" s="157">
        <f>EDATE(A2, 1)</f>
        <v>46143</v>
      </c>
      <c r="C2" s="2"/>
      <c r="D2" s="2"/>
      <c r="E2" s="2"/>
      <c r="F2" s="2"/>
      <c r="G2" s="4" t="s">
        <v>10</v>
      </c>
      <c r="H2" s="6">
        <f t="array" ref="H2">INDEX(Setup!C:C, MATCH('Monthly Analysis'!$B$2, Setup!A:A, 0))</f>
        <v>25000</v>
      </c>
      <c r="I2" s="54">
        <f t="shared" ref="I2:I4" si="1">SUMIF($C$5:C$15, G2, $B$5:$B$15)</f>
        <v>22788</v>
      </c>
      <c r="J2" s="158">
        <f t="shared" ref="J2:J4" si="2">H2-I2</f>
        <v>2212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4" t="s">
        <v>18</v>
      </c>
      <c r="H3" s="6">
        <f t="array" ref="H3">INDEX(Setup!D:D, MATCH('Monthly Analysis'!$B$2, Setup!A:A, 0))</f>
        <v>15000</v>
      </c>
      <c r="I3" s="54">
        <f t="shared" si="1"/>
        <v>5518</v>
      </c>
      <c r="J3" s="158">
        <f t="shared" si="2"/>
        <v>9482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4" t="s">
        <v>13</v>
      </c>
      <c r="H4" s="6">
        <f t="array" ref="H4">INDEX(Setup!E:E, MATCH('Monthly Analysis'!$B$2, Setup!A:A, 0))</f>
        <v>10000</v>
      </c>
      <c r="I4" s="54">
        <f t="shared" si="1"/>
        <v>10000</v>
      </c>
      <c r="J4" s="158">
        <f t="shared" si="2"/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25</v>
      </c>
      <c r="B5" s="1" t="s">
        <v>364</v>
      </c>
      <c r="C5" s="1" t="s">
        <v>7</v>
      </c>
      <c r="D5" s="1" t="s">
        <v>365</v>
      </c>
      <c r="E5" s="159">
        <f>SUM($B$6:$B$15)</f>
        <v>38306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>IFERROR(__xludf.DUMMYFUNCTION("FILTER(Setup!A11:A1000, Setup!A11:A1000&lt;&gt;"""")"),"Life Infrastructure")</f>
        <v>Life Infrastructure</v>
      </c>
      <c r="B6" s="54">
        <f>SUMIFS(
  'Daily Expense Tracker'!D:D,
  'Daily Expense Tracker'!C:C, A6,
  'Daily Expense Tracker'!A:A, "&gt;=" &amp; Calc!$A$2,
  'Daily Expense Tracker'!A:A, "&lt;"  &amp; Calc!$B$2
)
</f>
        <v>21288</v>
      </c>
      <c r="C6" s="11" t="str">
        <f t="array" ref="C6">XLOOKUP(A6, Setup!A2:A12, Setup!B2:B12)
</f>
        <v>Need</v>
      </c>
      <c r="D6" s="4" t="s">
        <v>366</v>
      </c>
      <c r="E6" s="158">
        <f t="array" ref="E6">INDEX(Setup!B:B, MATCH('Monthly Analysis'!B2, Setup!A:A, 0))-E5
</f>
        <v>11694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tr">
        <f>IFERROR(__xludf.DUMMYFUNCTION("""COMPUTED_VALUE"""),"Future Me")</f>
        <v>Future Me</v>
      </c>
      <c r="B7" s="54">
        <f>SUMIFS(
  'Daily Expense Tracker'!D:D,
  'Daily Expense Tracker'!C:C, A7,
  'Daily Expense Tracker'!A:A, "&gt;=" &amp; Calc!$A$2,
  'Daily Expense Tracker'!A:A, "&lt;"  &amp; Calc!$B$2
)
</f>
        <v>10000</v>
      </c>
      <c r="C7" s="11" t="str">
        <f t="array" ref="C7">XLOOKUP(A7, Setup!A3:A13, Setup!B3:B13)
</f>
        <v>Saving</v>
      </c>
      <c r="D7" s="4" t="s">
        <v>367</v>
      </c>
      <c r="E7" s="160">
        <f t="array" ref="E7">iferror(E6/INDEX(Setup!B:B, MATCH('Monthly Analysis'!B2, Setup!A:A, 0)),"NA")</f>
        <v>0.23388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tr">
        <f>IFERROR(__xludf.DUMMYFUNCTION("""COMPUTED_VALUE"""),"Performance &amp; Growth")</f>
        <v>Performance &amp; Growth</v>
      </c>
      <c r="B8" s="54">
        <f>SUMIFS(
  'Daily Expense Tracker'!D:D,
  'Daily Expense Tracker'!C:C, A8,
  'Daily Expense Tracker'!A:A, "&gt;=" &amp; Calc!$A$2,
  'Daily Expense Tracker'!A:A, "&lt;"  &amp; Calc!$B$2
)
</f>
        <v>1500</v>
      </c>
      <c r="C8" s="11" t="str">
        <f t="array" ref="C8">XLOOKUP(A8, Setup!A4:A14, Setup!B4:B14)
</f>
        <v>Need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tr">
        <f>IFERROR(__xludf.DUMMYFUNCTION("""COMPUTED_VALUE"""),"Relationships &amp; Generosity")</f>
        <v>Relationships &amp; Generosity</v>
      </c>
      <c r="B9" s="54">
        <f>SUMIFS(
  'Daily Expense Tracker'!D:D,
  'Daily Expense Tracker'!C:C, A9,
  'Daily Expense Tracker'!A:A, "&gt;=" &amp; Calc!$A$2,
  'Daily Expense Tracker'!A:A, "&lt;"  &amp; Calc!$B$2
)
</f>
        <v>500</v>
      </c>
      <c r="C9" s="11" t="str">
        <f t="array" ref="C9">XLOOKUP(A9, Setup!A5:A15, Setup!B5:B15)
</f>
        <v>Want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tr">
        <f>IFERROR(__xludf.DUMMYFUNCTION("""COMPUTED_VALUE"""),"Lifestyle Enjoyment")</f>
        <v>Lifestyle Enjoyment</v>
      </c>
      <c r="B10" s="54">
        <f>SUMIFS(
  'Daily Expense Tracker'!D:D,
  'Daily Expense Tracker'!C:C, A10,
  'Daily Expense Tracker'!A:A, "&gt;=" &amp; Calc!$A$2,
  'Daily Expense Tracker'!A:A, "&lt;"  &amp; Calc!$B$2
)
</f>
        <v>5018</v>
      </c>
      <c r="C10" s="4" t="str">
        <f t="array" ref="C10">XLOOKUP(A10, Setup!A6:A16, Setup!B6:B16)
</f>
        <v>Want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>IFERROR(__xludf.DUMMYFUNCTION("""COMPUTED_VALUE"""),"Weekly limit")</f>
        <v>Weekly limit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>
        <f>IFERROR(__xludf.DUMMYFUNCTION("""COMPUTED_VALUE"""),10000.0)</f>
        <v>10000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B1"/>
  </mergeCells>
  <conditionalFormatting sqref="J2:J3">
    <cfRule type="cellIs" dxfId="4" priority="1" operator="greaterThan">
      <formula>0</formula>
    </cfRule>
  </conditionalFormatting>
  <conditionalFormatting sqref="J2:J3">
    <cfRule type="cellIs" dxfId="0" priority="2" operator="lessThan">
      <formula>0</formula>
    </cfRule>
  </conditionalFormatting>
  <conditionalFormatting sqref="J4">
    <cfRule type="cellIs" dxfId="0" priority="3" operator="greaterThan">
      <formula>0</formula>
    </cfRule>
  </conditionalFormatting>
  <conditionalFormatting sqref="J4">
    <cfRule type="cellIs" dxfId="4" priority="4" operator="lessThan">
      <formula>0</formula>
    </cfRule>
  </conditionalFormatting>
  <drawing r:id="rId1"/>
</worksheet>
</file>